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hidePivotFieldList="1" defaultThemeVersion="124226"/>
  <bookViews>
    <workbookView xWindow="240" yWindow="105" windowWidth="14805" windowHeight="8010" activeTab="1"/>
  </bookViews>
  <sheets>
    <sheet name="Report" sheetId="2" r:id="rId1"/>
    <sheet name="Dashboard" sheetId="3" r:id="rId2"/>
    <sheet name="employee_details" sheetId="1" r:id="rId3"/>
  </sheets>
  <definedNames>
    <definedName name="Slicer_City">#N/A</definedName>
    <definedName name="Slicer_Department">#N/A</definedName>
    <definedName name="Slicer_Experience_level">#N/A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alcChain>
</file>

<file path=xl/sharedStrings.xml><?xml version="1.0" encoding="utf-8"?>
<sst xmlns="http://schemas.openxmlformats.org/spreadsheetml/2006/main" count="344" uniqueCount="164">
  <si>
    <t>Emp_ID</t>
  </si>
  <si>
    <t>Name</t>
  </si>
  <si>
    <t>Date of Joining</t>
  </si>
  <si>
    <t>Gender</t>
  </si>
  <si>
    <t>Date of Birth</t>
  </si>
  <si>
    <t>Age</t>
  </si>
  <si>
    <t>Email_ID</t>
  </si>
  <si>
    <t>M_Salary</t>
  </si>
  <si>
    <t>Bonos</t>
  </si>
  <si>
    <t>Annual_Salary</t>
  </si>
  <si>
    <t>City</t>
  </si>
  <si>
    <t>Department</t>
  </si>
  <si>
    <t>Tenure</t>
  </si>
  <si>
    <t>Experience level</t>
  </si>
  <si>
    <t>AX101</t>
  </si>
  <si>
    <t>AX102</t>
  </si>
  <si>
    <t>AX103</t>
  </si>
  <si>
    <t>AX104</t>
  </si>
  <si>
    <t>AX105</t>
  </si>
  <si>
    <t>AX106</t>
  </si>
  <si>
    <t>AX107</t>
  </si>
  <si>
    <t>AX108</t>
  </si>
  <si>
    <t>AX109</t>
  </si>
  <si>
    <t>AX110</t>
  </si>
  <si>
    <t>AX111</t>
  </si>
  <si>
    <t>AX112</t>
  </si>
  <si>
    <t>AX113</t>
  </si>
  <si>
    <t>AX114</t>
  </si>
  <si>
    <t>AX115</t>
  </si>
  <si>
    <t>AX116</t>
  </si>
  <si>
    <t>AX117</t>
  </si>
  <si>
    <t>AX118</t>
  </si>
  <si>
    <t>AX119</t>
  </si>
  <si>
    <t>AX120</t>
  </si>
  <si>
    <t>AX121</t>
  </si>
  <si>
    <t>AX122</t>
  </si>
  <si>
    <t>AX123</t>
  </si>
  <si>
    <t>AX124</t>
  </si>
  <si>
    <t>AX125</t>
  </si>
  <si>
    <t>AX126</t>
  </si>
  <si>
    <t>AX127</t>
  </si>
  <si>
    <t>AX128</t>
  </si>
  <si>
    <t>AX129</t>
  </si>
  <si>
    <t>AX130</t>
  </si>
  <si>
    <t>AX131</t>
  </si>
  <si>
    <t>AX132</t>
  </si>
  <si>
    <t>AX133</t>
  </si>
  <si>
    <t>AX134</t>
  </si>
  <si>
    <t>AX135</t>
  </si>
  <si>
    <t>AX136</t>
  </si>
  <si>
    <t>AX137</t>
  </si>
  <si>
    <t>AX138</t>
  </si>
  <si>
    <t>AX139</t>
  </si>
  <si>
    <t>AX140</t>
  </si>
  <si>
    <t>AX141</t>
  </si>
  <si>
    <t>AX142</t>
  </si>
  <si>
    <t>AX143</t>
  </si>
  <si>
    <t>AX144</t>
  </si>
  <si>
    <t>Rohit</t>
  </si>
  <si>
    <t>Dhawan</t>
  </si>
  <si>
    <t>Virat</t>
  </si>
  <si>
    <t>Ajinkya</t>
  </si>
  <si>
    <t>Rishabh</t>
  </si>
  <si>
    <t>Hardik</t>
  </si>
  <si>
    <t>Jadeja</t>
  </si>
  <si>
    <t>Ashwin</t>
  </si>
  <si>
    <t>Bhuvaneshwar</t>
  </si>
  <si>
    <t>Bumrah</t>
  </si>
  <si>
    <t>Shami</t>
  </si>
  <si>
    <t>Smriti</t>
  </si>
  <si>
    <t>Dipti</t>
  </si>
  <si>
    <t>Jemina</t>
  </si>
  <si>
    <t>Harmanpreet</t>
  </si>
  <si>
    <t>Shubhman</t>
  </si>
  <si>
    <t>AX145</t>
  </si>
  <si>
    <t>AX146</t>
  </si>
  <si>
    <t>AX147</t>
  </si>
  <si>
    <t>AX148</t>
  </si>
  <si>
    <t>Male</t>
  </si>
  <si>
    <t>Female</t>
  </si>
  <si>
    <t>rohit.@axender.co.in</t>
  </si>
  <si>
    <t>dhawan.@axender.co.in</t>
  </si>
  <si>
    <t>virat.@axender.co.in</t>
  </si>
  <si>
    <t>ajinkya.@axender.co.in</t>
  </si>
  <si>
    <t>rishabh.@axender.co.in</t>
  </si>
  <si>
    <t>hardik.@axender.co.in</t>
  </si>
  <si>
    <t>jadeja.@axender.co.in</t>
  </si>
  <si>
    <t>ashwin.@axender.co.in</t>
  </si>
  <si>
    <t>bhuvaneshwar.@axender.co.in</t>
  </si>
  <si>
    <t>bumrah.@axender.co.in</t>
  </si>
  <si>
    <t>shami.@axender.co.in</t>
  </si>
  <si>
    <t>smriti.@axender.co.in</t>
  </si>
  <si>
    <t>dipti.@axender.co.in</t>
  </si>
  <si>
    <t>jemina.@axender.co.in</t>
  </si>
  <si>
    <t>harmanpreet.@axender.co.in</t>
  </si>
  <si>
    <t>shubhman.@axender.co.in</t>
  </si>
  <si>
    <t>rohit.1@axender.co.in</t>
  </si>
  <si>
    <t>dhawan.1@axender.co.in</t>
  </si>
  <si>
    <t>virat.1@axender.co.in</t>
  </si>
  <si>
    <t>ajinkya.1@axender.co.in</t>
  </si>
  <si>
    <t>rishabh.1@axender.co.in</t>
  </si>
  <si>
    <t>hardik.1@axender.co.in</t>
  </si>
  <si>
    <t>jadeja.1@axender.co.in</t>
  </si>
  <si>
    <t>ashwin.1@axender.co.in</t>
  </si>
  <si>
    <t>bhuvaneshwar.1@axender.co.in</t>
  </si>
  <si>
    <t>bumrah.1@axender.co.in</t>
  </si>
  <si>
    <t>shami.1@axender.co.in</t>
  </si>
  <si>
    <t>smriti.1@axender.co.in</t>
  </si>
  <si>
    <t>dipti.1@axender.co.in</t>
  </si>
  <si>
    <t>jemina.1@axender.co.in</t>
  </si>
  <si>
    <t>harmanpreet.1@axender.co.in</t>
  </si>
  <si>
    <t>shubhman.1@axender.co.in</t>
  </si>
  <si>
    <t>rohit.2@axender.co.in</t>
  </si>
  <si>
    <t>dhawan.2@axender.co.in</t>
  </si>
  <si>
    <t>virat.2@axender.co.in</t>
  </si>
  <si>
    <t>ajinkya.2@axender.co.in</t>
  </si>
  <si>
    <t>rishabh.2@axender.co.in</t>
  </si>
  <si>
    <t>hardik.2@axender.co.in</t>
  </si>
  <si>
    <t>jadeja.2@axender.co.in</t>
  </si>
  <si>
    <t>ashwin.2@axender.co.in</t>
  </si>
  <si>
    <t>bhuvaneshwar.2@axender.co.in</t>
  </si>
  <si>
    <t>bumrah.2@axender.co.in</t>
  </si>
  <si>
    <t>shami.2@axender.co.in</t>
  </si>
  <si>
    <t>smriti.2@axender.co.in</t>
  </si>
  <si>
    <t>dipti.2@axender.co.in</t>
  </si>
  <si>
    <t>jemina.2@axender.co.in</t>
  </si>
  <si>
    <t>harmanpreet.2@axender.co.in</t>
  </si>
  <si>
    <t>shubhman.2@axender.co.in</t>
  </si>
  <si>
    <t>Mumbai</t>
  </si>
  <si>
    <t>Amritsar</t>
  </si>
  <si>
    <t>Delhi</t>
  </si>
  <si>
    <t>Pune</t>
  </si>
  <si>
    <t>Lakhnow</t>
  </si>
  <si>
    <t>Ahmedabad</t>
  </si>
  <si>
    <t>Surat</t>
  </si>
  <si>
    <t>Chennai</t>
  </si>
  <si>
    <t>Patna</t>
  </si>
  <si>
    <t>Rajkot</t>
  </si>
  <si>
    <t>Kolkata</t>
  </si>
  <si>
    <t>Nagpur</t>
  </si>
  <si>
    <t>Cuttack</t>
  </si>
  <si>
    <t>Hyderabad</t>
  </si>
  <si>
    <t>Jalandhar</t>
  </si>
  <si>
    <t>Panipat</t>
  </si>
  <si>
    <t>HR</t>
  </si>
  <si>
    <t>Finance</t>
  </si>
  <si>
    <t>Accounting</t>
  </si>
  <si>
    <t>Sales</t>
  </si>
  <si>
    <t>Marketing</t>
  </si>
  <si>
    <t>IT</t>
  </si>
  <si>
    <t>Production</t>
  </si>
  <si>
    <t>QA</t>
  </si>
  <si>
    <t>Security</t>
  </si>
  <si>
    <t>Maintenance</t>
  </si>
  <si>
    <t>Analytics</t>
  </si>
  <si>
    <t>Admin</t>
  </si>
  <si>
    <t>Row Labels</t>
  </si>
  <si>
    <t>Grand Total</t>
  </si>
  <si>
    <t>Fresher</t>
  </si>
  <si>
    <t>Junior</t>
  </si>
  <si>
    <t>Mid</t>
  </si>
  <si>
    <t>Senior</t>
  </si>
  <si>
    <t>Average of Annual_Salary</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</si>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</sst>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14009]dd/mm/yyyy;@"/>
    <numFmt numFmtId="165" formatCode="&quot;₹&quot;\ #,##0.0"/>
    <numFmt numFmtId="166" formatCode="&quot;₹&quot;\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1" xfId="0" applyFont="1" applyFill="1" applyBorder="1" applyAlignment="1">
      <alignment horizontal="center"/>
    </xf>
    <xf numFmtId="166" fontId="0" fillId="0" borderId="0" xfId="0" applyNumberFormat="1"/>
    <xf numFmtId="0" fontId="0" fillId="0" borderId="0" xfId="0" applyAlignment="1">
      <alignment horizontal="center"/>
    </xf>
    <xf numFmtId="0" fontId="0" fillId="0" borderId="1" xfId="0" applyBorder="1"/>
    <xf numFmtId="164" fontId="0" fillId="0" borderId="1" xfId="0" applyNumberFormat="1" applyBorder="1" applyAlignment="1">
      <alignment horizontal="center"/>
    </xf>
    <xf numFmtId="14" fontId="0" fillId="0" borderId="1" xfId="0" applyNumberFormat="1" applyBorder="1"/>
    <xf numFmtId="0" fontId="0" fillId="0" borderId="1" xfId="0" applyNumberFormat="1" applyBorder="1" applyAlignment="1">
      <alignment horizontal="center"/>
    </xf>
    <xf numFmtId="165" fontId="0" fillId="0" borderId="1" xfId="0" applyNumberFormat="1" applyBorder="1"/>
    <xf numFmtId="166"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0" fontId="0" fillId="0" borderId="0" xfId="0" applyAlignment="1">
      <alignment horizontal="left"/>
    </xf>
    <xf numFmtId="0" fontId="0" fillId="3" borderId="0" xfId="0" applyFill="1"/>
  </cellXfs>
  <cellStyles count="1">
    <cellStyle name="Normal" xfId="0" builtinId="0"/>
  </cellStyles>
  <dxfs count="3">
    <dxf>
      <numFmt numFmtId="166" formatCode="&quot;₹&quot;\ #,##0"/>
    </dxf>
    <dxf>
      <numFmt numFmtId="166" formatCode="&quot;₹&quot;\ #,##0"/>
    </dxf>
    <dxf>
      <numFmt numFmtId="166" formatCode="&quot;₹&quot;\ #,##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[Random_employee_data.xlsx]Report!PivotTable1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as per Experience level</a:t>
            </a:r>
            <a:endParaRPr lang="en-US"/>
          </a:p>
        </c:rich>
      </c:tx>
      <c:layout>
        <c:manualLayout>
          <c:xMode val="edge"/>
          <c:yMode val="edge"/>
          <c:x val="0.22117696220421573"/>
          <c:y val="5.6836714676815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s>
    <c:view3D>
      <c:rotX val="30"/>
      <c:rotY val="20"/>
      <c:depthPercent val="6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70581802274717"/>
          <c:y val="0.25402559055118112"/>
          <c:w val="0.69233114610673663"/>
          <c:h val="0.53774387576552929"/>
        </c:manualLayout>
      </c:layout>
      <c:bar3DChart>
        <c:barDir val="col"/>
        <c:grouping val="clustered"/>
        <c:varyColors val="0"/>
        <c:ser>
          <c:idx val="0"/>
          <c:order val="0"/>
          <c:tx>
            <c:strRef>
              <c:f>Report!$B$3</c:f>
              <c:strCache>
                <c:ptCount val="1"/>
                <c:pt idx="0">
                  <c:v>Total</c:v>
                </c:pt>
              </c:strCache>
            </c:strRef>
          </c:tx>
          <c:spPr>
            <a:solidFill>
              <a:schemeClr val="accent2"/>
            </a:solidFill>
            <a:ln>
              <a:noFill/>
            </a:ln>
            <a:effectLst/>
            <a:sp3d/>
          </c:spPr>
          <c:invertIfNegative val="0"/>
          <c:cat>
            <c:strRef>
              <c:f>Report!$A$4:$A$8</c:f>
              <c:strCache>
                <c:ptCount val="4"/>
                <c:pt idx="0">
                  <c:v>Fresher</c:v>
                </c:pt>
                <c:pt idx="1">
                  <c:v>Junior</c:v>
                </c:pt>
                <c:pt idx="2">
                  <c:v>Mid</c:v>
                </c:pt>
                <c:pt idx="3">
                  <c:v>Senior</c:v>
                </c:pt>
              </c:strCache>
            </c:strRef>
          </c:cat>
          <c:val>
            <c:numRef>
              <c:f>Report!$B$4:$B$8</c:f>
              <c:numCache>
                <c:formatCode>"₹"\ #,##0</c:formatCode>
                <c:ptCount val="4"/>
                <c:pt idx="0">
                  <c:v>1205699.5</c:v>
                </c:pt>
                <c:pt idx="1">
                  <c:v>1289052</c:v>
                </c:pt>
                <c:pt idx="2">
                  <c:v>1208656.8421052631</c:v>
                </c:pt>
                <c:pt idx="3">
                  <c:v>1219111.642857143</c:v>
                </c:pt>
              </c:numCache>
            </c:numRef>
          </c:val>
          <c:shape val="cylinder"/>
        </c:ser>
        <c:dLbls>
          <c:showLegendKey val="0"/>
          <c:showVal val="0"/>
          <c:showCatName val="0"/>
          <c:showSerName val="0"/>
          <c:showPercent val="0"/>
          <c:showBubbleSize val="0"/>
        </c:dLbls>
        <c:gapWidth val="150"/>
        <c:shape val="box"/>
        <c:axId val="707196304"/>
        <c:axId val="707197088"/>
        <c:axId val="0"/>
      </c:bar3DChart>
      <c:catAx>
        <c:axId val="70719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7088"/>
        <c:crosses val="autoZero"/>
        <c:auto val="1"/>
        <c:lblAlgn val="ctr"/>
        <c:lblOffset val="100"/>
        <c:noMultiLvlLbl val="0"/>
      </c:catAx>
      <c:valAx>
        <c:axId val="707197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6304"/>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[Random_employee_data.xlsx]Report!PivotTable2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Salary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marker>
          <c:symbol val="none"/>
        </c:marker>
      </c:pivotFmt>
      <c:pivotFmt>
        <c:idx val="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pivotFmt>
    </c:pivotFmts>
    <c:plotArea>
      <c:layout>
        <c:manualLayout>
          <c:layoutTarget val="inner"/>
          <c:xMode val="edge"/>
          <c:yMode val="edge"/>
          <c:x val="0.14755839609413168"/>
          <c:y val="0.14669101389281286"/>
          <c:w val="0.82474251946272104"/>
          <c:h val="0.58922846368337656"/>
        </c:manualLayout>
      </c:layout>
      <c:barChart>
        <c:barDir val="col"/>
        <c:grouping val="clustered"/>
        <c:varyColors val="0"/>
        <c:ser>
          <c:idx val="0"/>
          <c:order val="0"/>
          <c:tx>
            <c:strRef>
              <c:f>Report!$B$16</c:f>
              <c:strCache>
                <c:ptCount val="1"/>
                <c:pt idx="0">
                  <c:v>Total</c:v>
                </c:pt>
              </c:strCache>
            </c:strRef>
          </c:t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invertIfNegative val="0"/>
          <c:cat>
            <c:strRef>
              <c:f>Report!$A$17:$A$29</c:f>
              <c:strCache>
                <c:ptCount val="12"/>
                <c:pt idx="0">
                  <c:v>HR</c:v>
                </c:pt>
                <c:pt idx="1">
                  <c:v>Finance</c:v>
                </c:pt>
                <c:pt idx="2">
                  <c:v>Accounting</c:v>
                </c:pt>
                <c:pt idx="3">
                  <c:v>Sales</c:v>
                </c:pt>
                <c:pt idx="4">
                  <c:v>Marketing</c:v>
                </c:pt>
                <c:pt idx="5">
                  <c:v>IT</c:v>
                </c:pt>
                <c:pt idx="6">
                  <c:v>Production</c:v>
                </c:pt>
                <c:pt idx="7">
                  <c:v>QA</c:v>
                </c:pt>
                <c:pt idx="8">
                  <c:v>Security</c:v>
                </c:pt>
                <c:pt idx="9">
                  <c:v>Maintenance</c:v>
                </c:pt>
                <c:pt idx="10">
                  <c:v>Analytics</c:v>
                </c:pt>
                <c:pt idx="11">
                  <c:v>Admin</c:v>
                </c:pt>
              </c:strCache>
            </c:strRef>
          </c:cat>
          <c:val>
            <c:numRef>
              <c:f>Report!$B$17:$B$29</c:f>
              <c:numCache>
                <c:formatCode>"₹"\ #,##0</c:formatCode>
                <c:ptCount val="12"/>
                <c:pt idx="0">
                  <c:v>1376682</c:v>
                </c:pt>
                <c:pt idx="1">
                  <c:v>969260.5</c:v>
                </c:pt>
                <c:pt idx="2">
                  <c:v>1148783.75</c:v>
                </c:pt>
                <c:pt idx="3">
                  <c:v>1035027.75</c:v>
                </c:pt>
                <c:pt idx="4">
                  <c:v>1210836.25</c:v>
                </c:pt>
                <c:pt idx="5">
                  <c:v>1408530.5</c:v>
                </c:pt>
                <c:pt idx="6">
                  <c:v>1309097.75</c:v>
                </c:pt>
                <c:pt idx="7">
                  <c:v>1275643.25</c:v>
                </c:pt>
                <c:pt idx="8">
                  <c:v>1291784.5</c:v>
                </c:pt>
                <c:pt idx="9">
                  <c:v>1139979.5</c:v>
                </c:pt>
                <c:pt idx="10">
                  <c:v>1177801</c:v>
                </c:pt>
                <c:pt idx="11">
                  <c:v>1373500.25</c:v>
                </c:pt>
              </c:numCache>
            </c:numRef>
          </c:val>
        </c:ser>
        <c:dLbls>
          <c:showLegendKey val="0"/>
          <c:showVal val="0"/>
          <c:showCatName val="0"/>
          <c:showSerName val="0"/>
          <c:showPercent val="0"/>
          <c:showBubbleSize val="0"/>
        </c:dLbls>
        <c:gapWidth val="219"/>
        <c:overlap val="-27"/>
        <c:axId val="707199048"/>
        <c:axId val="707195520"/>
      </c:barChart>
      <c:catAx>
        <c:axId val="70719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5520"/>
        <c:crosses val="autoZero"/>
        <c:auto val="1"/>
        <c:lblAlgn val="ctr"/>
        <c:lblOffset val="100"/>
        <c:noMultiLvlLbl val="0"/>
      </c:catAx>
      <c:valAx>
        <c:axId val="707195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9048"/>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pattFill prst="pct5">
          <a:fgClr>
            <a:schemeClr val="accent2"/>
          </a:fgClr>
          <a:bgClr>
            <a:schemeClr val="bg1"/>
          </a:bgClr>
        </a:pattFill>
        <a:ln>
          <a:noFill/>
        </a:ln>
        <a:effectLst>
          <a:glow rad="127000">
            <a:schemeClr val="bg1"/>
          </a:glow>
          <a:outerShdw blurRad="50800" dist="50800" dir="5400000" algn="ctr" rotWithShape="0">
            <a:schemeClr val="tx2"/>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[Random_employee_data.xlsx]Report!PivotTable3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a:t>
            </a:r>
            <a:r>
              <a:rPr lang="en-US" baseline="0"/>
              <a:t> Average Salary</a:t>
            </a:r>
            <a:endParaRPr lang="en-US"/>
          </a:p>
        </c:rich>
      </c:tx>
      <c:layout>
        <c:manualLayout>
          <c:xMode val="edge"/>
          <c:yMode val="edge"/>
          <c:x val="0.24862775046537158"/>
          <c:y val="0.107637300874674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marker>
          <c:symbol val="none"/>
        </c:marker>
      </c:pivotFmt>
      <c:pivotFmt>
        <c:idx val="1"/>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3"/>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4"/>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5"/>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6"/>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7"/>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8"/>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9"/>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1"/>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2"/>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3"/>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4"/>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5"/>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6"/>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Report!$B$32</c:f>
              <c:strCache>
                <c:ptCount val="1"/>
                <c:pt idx="0">
                  <c:v>Total</c:v>
                </c:pt>
              </c:strCache>
            </c:strRef>
          </c:tx>
          <c:spPr>
            <a:scene3d>
              <a:camera prst="orthographicFront"/>
              <a:lightRig rig="threePt" dir="t"/>
            </a:scene3d>
            <a:sp3d prstMaterial="flat">
              <a:bevelT w="266700" h="139700" prst="cross"/>
              <a:bevelB w="139700" prst="cross"/>
              <a:contourClr>
                <a:srgbClr val="000000"/>
              </a:contourClr>
            </a:sp3d>
          </c:spPr>
          <c:dPt>
            <c:idx val="0"/>
            <c:bubble3D val="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
            <c:bubble3D val="0"/>
            <c:spPr>
              <a:solidFill>
                <a:schemeClr val="accent2"/>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2"/>
            <c:bubble3D val="0"/>
            <c:spPr>
              <a:solidFill>
                <a:schemeClr val="accent3"/>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3"/>
            <c:bubble3D val="0"/>
            <c:spPr>
              <a:solidFill>
                <a:schemeClr val="accent4"/>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4"/>
            <c:bubble3D val="0"/>
            <c:spPr>
              <a:solidFill>
                <a:schemeClr val="accent5"/>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5"/>
            <c:bubble3D val="0"/>
            <c:spPr>
              <a:solidFill>
                <a:schemeClr val="accent6"/>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6"/>
            <c:bubble3D val="0"/>
            <c:spPr>
              <a:solidFill>
                <a:schemeClr val="accent1">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7"/>
            <c:bubble3D val="0"/>
            <c:spPr>
              <a:solidFill>
                <a:schemeClr val="accent2">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8"/>
            <c:bubble3D val="0"/>
            <c:spPr>
              <a:solidFill>
                <a:schemeClr val="accent3">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9"/>
            <c:bubble3D val="0"/>
            <c:spPr>
              <a:solidFill>
                <a:schemeClr val="accent4">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0"/>
            <c:bubble3D val="0"/>
            <c:spPr>
              <a:solidFill>
                <a:schemeClr val="accent5">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1"/>
            <c:bubble3D val="0"/>
            <c:spPr>
              <a:solidFill>
                <a:schemeClr val="accent6">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cat>
            <c:strRef>
              <c:f>Report!$A$33:$A$49</c:f>
              <c:strCache>
                <c:ptCount val="16"/>
                <c:pt idx="0">
                  <c:v>Mumbai</c:v>
                </c:pt>
                <c:pt idx="1">
                  <c:v>Amritsar</c:v>
                </c:pt>
                <c:pt idx="2">
                  <c:v>Delhi</c:v>
                </c:pt>
                <c:pt idx="3">
                  <c:v>Pune</c:v>
                </c:pt>
                <c:pt idx="4">
                  <c:v>Lakhnow</c:v>
                </c:pt>
                <c:pt idx="5">
                  <c:v>Ahmedabad</c:v>
                </c:pt>
                <c:pt idx="6">
                  <c:v>Surat</c:v>
                </c:pt>
                <c:pt idx="7">
                  <c:v>Chennai</c:v>
                </c:pt>
                <c:pt idx="8">
                  <c:v>Patna</c:v>
                </c:pt>
                <c:pt idx="9">
                  <c:v>Rajkot</c:v>
                </c:pt>
                <c:pt idx="10">
                  <c:v>Kolkata</c:v>
                </c:pt>
                <c:pt idx="11">
                  <c:v>Nagpur</c:v>
                </c:pt>
                <c:pt idx="12">
                  <c:v>Cuttack</c:v>
                </c:pt>
                <c:pt idx="13">
                  <c:v>Hyderabad</c:v>
                </c:pt>
                <c:pt idx="14">
                  <c:v>Jalandhar</c:v>
                </c:pt>
                <c:pt idx="15">
                  <c:v>Panipat</c:v>
                </c:pt>
              </c:strCache>
            </c:strRef>
          </c:cat>
          <c:val>
            <c:numRef>
              <c:f>Report!$B$33:$B$49</c:f>
              <c:numCache>
                <c:formatCode>"₹"\ #,##0</c:formatCode>
                <c:ptCount val="16"/>
                <c:pt idx="0">
                  <c:v>1352201.6666666667</c:v>
                </c:pt>
                <c:pt idx="1">
                  <c:v>1286463.3333333333</c:v>
                </c:pt>
                <c:pt idx="2">
                  <c:v>1096863</c:v>
                </c:pt>
                <c:pt idx="3">
                  <c:v>1290405</c:v>
                </c:pt>
                <c:pt idx="4">
                  <c:v>1277750.3333333333</c:v>
                </c:pt>
                <c:pt idx="5">
                  <c:v>993060.66666666663</c:v>
                </c:pt>
                <c:pt idx="6">
                  <c:v>1473479</c:v>
                </c:pt>
                <c:pt idx="7">
                  <c:v>1268922.6666666667</c:v>
                </c:pt>
                <c:pt idx="8">
                  <c:v>1329872.3333333333</c:v>
                </c:pt>
                <c:pt idx="9">
                  <c:v>1349527</c:v>
                </c:pt>
                <c:pt idx="10">
                  <c:v>1219706</c:v>
                </c:pt>
                <c:pt idx="11">
                  <c:v>1131824.3333333333</c:v>
                </c:pt>
                <c:pt idx="12">
                  <c:v>1212579.3333333333</c:v>
                </c:pt>
                <c:pt idx="13">
                  <c:v>1061309.6666666667</c:v>
                </c:pt>
                <c:pt idx="14">
                  <c:v>1057528.6666666667</c:v>
                </c:pt>
                <c:pt idx="15">
                  <c:v>1221076.3333333333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[Random_employee_data.xlsx]Report!PivotTable1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as per Experience level</a:t>
            </a:r>
            <a:endParaRPr lang="en-US"/>
          </a:p>
        </c:rich>
      </c:tx>
      <c:layout>
        <c:manualLayout>
          <c:xMode val="edge"/>
          <c:yMode val="edge"/>
          <c:x val="0.22117696220421573"/>
          <c:y val="5.6836714676815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s>
    <c:view3D>
      <c:rotX val="30"/>
      <c:rotY val="20"/>
      <c:depthPercent val="6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70581802274717"/>
          <c:y val="0.25402559055118112"/>
          <c:w val="0.69233114610673663"/>
          <c:h val="0.53774387576552929"/>
        </c:manualLayout>
      </c:layout>
      <c:bar3DChart>
        <c:barDir val="col"/>
        <c:grouping val="clustered"/>
        <c:varyColors val="0"/>
        <c:ser>
          <c:idx val="0"/>
          <c:order val="0"/>
          <c:tx>
            <c:strRef>
              <c:f>Report!$B$3</c:f>
              <c:strCache>
                <c:ptCount val="1"/>
                <c:pt idx="0">
                  <c:v>Total</c:v>
                </c:pt>
              </c:strCache>
            </c:strRef>
          </c:tx>
          <c:spPr>
            <a:solidFill>
              <a:schemeClr val="accent2"/>
            </a:solidFill>
            <a:ln>
              <a:noFill/>
            </a:ln>
            <a:effectLst/>
            <a:sp3d/>
          </c:spPr>
          <c:invertIfNegative val="0"/>
          <c:cat>
            <c:strRef>
              <c:f>Report!$A$4:$A$8</c:f>
              <c:strCache>
                <c:ptCount val="4"/>
                <c:pt idx="0">
                  <c:v>Fresher</c:v>
                </c:pt>
                <c:pt idx="1">
                  <c:v>Junior</c:v>
                </c:pt>
                <c:pt idx="2">
                  <c:v>Mid</c:v>
                </c:pt>
                <c:pt idx="3">
                  <c:v>Senior</c:v>
                </c:pt>
              </c:strCache>
            </c:strRef>
          </c:cat>
          <c:val>
            <c:numRef>
              <c:f>Report!$B$4:$B$8</c:f>
              <c:numCache>
                <c:formatCode>"₹"\ #,##0</c:formatCode>
                <c:ptCount val="4"/>
                <c:pt idx="0">
                  <c:v>1205699.5</c:v>
                </c:pt>
                <c:pt idx="1">
                  <c:v>1289052</c:v>
                </c:pt>
                <c:pt idx="2">
                  <c:v>1208656.8421052631</c:v>
                </c:pt>
                <c:pt idx="3">
                  <c:v>1219111.642857143</c:v>
                </c:pt>
              </c:numCache>
            </c:numRef>
          </c:val>
          <c:shape val="cylinder"/>
        </c:ser>
        <c:dLbls>
          <c:showLegendKey val="0"/>
          <c:showVal val="0"/>
          <c:showCatName val="0"/>
          <c:showSerName val="0"/>
          <c:showPercent val="0"/>
          <c:showBubbleSize val="0"/>
        </c:dLbls>
        <c:gapWidth val="150"/>
        <c:shape val="box"/>
        <c:axId val="707194736"/>
        <c:axId val="707195128"/>
        <c:axId val="0"/>
      </c:bar3DChart>
      <c:catAx>
        <c:axId val="70719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5128"/>
        <c:crosses val="autoZero"/>
        <c:auto val="1"/>
        <c:lblAlgn val="ctr"/>
        <c:lblOffset val="100"/>
        <c:noMultiLvlLbl val="0"/>
      </c:catAx>
      <c:valAx>
        <c:axId val="707195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4736"/>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[Random_employee_data.xlsx]Report!PivotTable2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Salary</a:t>
            </a:r>
          </a:p>
        </c:rich>
      </c:tx>
      <c:layout>
        <c:manualLayout>
          <c:xMode val="edge"/>
          <c:yMode val="edge"/>
          <c:x val="0.31287823889522348"/>
          <c:y val="9.05882464830318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marker>
          <c:symbol val="none"/>
        </c:marker>
      </c:pivotFmt>
      <c:pivotFmt>
        <c:idx val="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marker>
          <c:symbol val="none"/>
        </c:marker>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marker>
          <c:symbol val="none"/>
        </c:marker>
      </c:pivotFmt>
    </c:pivotFmts>
    <c:plotArea>
      <c:layout>
        <c:manualLayout>
          <c:layoutTarget val="inner"/>
          <c:xMode val="edge"/>
          <c:yMode val="edge"/>
          <c:x val="0.14250313020145342"/>
          <c:y val="0.20708308872417336"/>
          <c:w val="0.83485313876957756"/>
          <c:h val="0.58922846368337656"/>
        </c:manualLayout>
      </c:layout>
      <c:barChart>
        <c:barDir val="col"/>
        <c:grouping val="clustered"/>
        <c:varyColors val="0"/>
        <c:ser>
          <c:idx val="0"/>
          <c:order val="0"/>
          <c:tx>
            <c:strRef>
              <c:f>Report!$B$16</c:f>
              <c:strCache>
                <c:ptCount val="1"/>
                <c:pt idx="0">
                  <c:v>Total</c:v>
                </c:pt>
              </c:strCache>
            </c:strRef>
          </c:t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glow rad="63500">
                <a:schemeClr val="accent5">
                  <a:satMod val="175000"/>
                  <a:alpha val="40000"/>
                </a:schemeClr>
              </a:glow>
            </a:effectLst>
            <a:scene3d>
              <a:camera prst="orthographicFront"/>
              <a:lightRig rig="threePt" dir="t"/>
            </a:scene3d>
            <a:sp3d prstMaterial="matte"/>
          </c:spPr>
          <c:invertIfNegative val="0"/>
          <c:cat>
            <c:strRef>
              <c:f>Report!$A$17:$A$29</c:f>
              <c:strCache>
                <c:ptCount val="12"/>
                <c:pt idx="0">
                  <c:v>HR</c:v>
                </c:pt>
                <c:pt idx="1">
                  <c:v>Finance</c:v>
                </c:pt>
                <c:pt idx="2">
                  <c:v>Accounting</c:v>
                </c:pt>
                <c:pt idx="3">
                  <c:v>Sales</c:v>
                </c:pt>
                <c:pt idx="4">
                  <c:v>Marketing</c:v>
                </c:pt>
                <c:pt idx="5">
                  <c:v>IT</c:v>
                </c:pt>
                <c:pt idx="6">
                  <c:v>Production</c:v>
                </c:pt>
                <c:pt idx="7">
                  <c:v>QA</c:v>
                </c:pt>
                <c:pt idx="8">
                  <c:v>Security</c:v>
                </c:pt>
                <c:pt idx="9">
                  <c:v>Maintenance</c:v>
                </c:pt>
                <c:pt idx="10">
                  <c:v>Analytics</c:v>
                </c:pt>
                <c:pt idx="11">
                  <c:v>Admin</c:v>
                </c:pt>
              </c:strCache>
            </c:strRef>
          </c:cat>
          <c:val>
            <c:numRef>
              <c:f>Report!$B$17:$B$29</c:f>
              <c:numCache>
                <c:formatCode>"₹"\ #,##0</c:formatCode>
                <c:ptCount val="12"/>
                <c:pt idx="0">
                  <c:v>1376682</c:v>
                </c:pt>
                <c:pt idx="1">
                  <c:v>969260.5</c:v>
                </c:pt>
                <c:pt idx="2">
                  <c:v>1148783.75</c:v>
                </c:pt>
                <c:pt idx="3">
                  <c:v>1035027.75</c:v>
                </c:pt>
                <c:pt idx="4">
                  <c:v>1210836.25</c:v>
                </c:pt>
                <c:pt idx="5">
                  <c:v>1408530.5</c:v>
                </c:pt>
                <c:pt idx="6">
                  <c:v>1309097.75</c:v>
                </c:pt>
                <c:pt idx="7">
                  <c:v>1275643.25</c:v>
                </c:pt>
                <c:pt idx="8">
                  <c:v>1291784.5</c:v>
                </c:pt>
                <c:pt idx="9">
                  <c:v>1139979.5</c:v>
                </c:pt>
                <c:pt idx="10">
                  <c:v>1177801</c:v>
                </c:pt>
                <c:pt idx="11">
                  <c:v>1373500.25</c:v>
                </c:pt>
              </c:numCache>
            </c:numRef>
          </c:val>
        </c:ser>
        <c:dLbls>
          <c:showLegendKey val="0"/>
          <c:showVal val="0"/>
          <c:showCatName val="0"/>
          <c:showSerName val="0"/>
          <c:showPercent val="0"/>
          <c:showBubbleSize val="0"/>
        </c:dLbls>
        <c:gapWidth val="219"/>
        <c:overlap val="-27"/>
        <c:axId val="707197872"/>
        <c:axId val="707196696"/>
      </c:barChart>
      <c:catAx>
        <c:axId val="7071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6696"/>
        <c:crosses val="autoZero"/>
        <c:auto val="1"/>
        <c:lblAlgn val="ctr"/>
        <c:lblOffset val="100"/>
        <c:noMultiLvlLbl val="0"/>
      </c:catAx>
      <c:valAx>
        <c:axId val="707196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197872"/>
        <c:crosses val="autoZero"/>
        <c:crossBetween val="between"/>
        <c:dispUnits>
          <c:builtInUnit val="millions"/>
          <c:dispUnitsLbl>
            <c:layout>
              <c:manualLayout>
                <c:xMode val="edge"/>
                <c:yMode val="edge"/>
                <c:x val="9.5509208295377155E-3"/>
                <c:y val="0.48159292655154257"/>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pattFill prst="pct5">
          <a:fgClr>
            <a:schemeClr val="accent2"/>
          </a:fgClr>
          <a:bgClr>
            <a:schemeClr val="bg1"/>
          </a:bgClr>
        </a:pattFill>
        <a:ln>
          <a:noFill/>
        </a:ln>
        <a:effectLst>
          <a:glow rad="127000">
            <a:schemeClr val="bg1"/>
          </a:glow>
          <a:outerShdw blurRad="50800" dist="50800" dir="5400000" algn="ctr" rotWithShape="0">
            <a:schemeClr val="tx2"/>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[Random_employee_data.xlsx]Report!PivotTable3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a:t>
            </a:r>
            <a:r>
              <a:rPr lang="en-US" baseline="0"/>
              <a:t> Average Salary</a:t>
            </a:r>
            <a:endParaRPr lang="en-US"/>
          </a:p>
        </c:rich>
      </c:tx>
      <c:layout>
        <c:manualLayout>
          <c:xMode val="edge"/>
          <c:yMode val="edge"/>
          <c:x val="0.24862775046537158"/>
          <c:y val="0.107637300874674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marker>
          <c:symbol val="none"/>
        </c:marker>
      </c:pivotFmt>
      <c:pivotFmt>
        <c:idx val="1"/>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marker>
          <c:symbol val="none"/>
        </c:marker>
      </c:pivotFmt>
      <c:pivotFmt>
        <c:idx val="2"/>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3"/>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4"/>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5"/>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6"/>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7"/>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8"/>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9"/>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1"/>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2"/>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3"/>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4"/>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5"/>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6"/>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7"/>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18"/>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marker>
          <c:symbol val="none"/>
        </c:marker>
        <c:dLbl>
          <c:idx val="0"/>
          <c:layou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1"/>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Lbl>
          <c:idx val="0"/>
          <c:layout>
            <c:manualLayout>
              <c:x val="-0.10002608188814911"/>
              <c:y val="4.9541427030042225E-2"/>
            </c:manualLayout>
          </c:layou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3"/>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4"/>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5"/>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Lbl>
          <c:idx val="0"/>
          <c:layout>
            <c:manualLayout>
              <c:x val="-9.026139439733287E-2"/>
              <c:y val="-0.16545933764444026"/>
            </c:manualLayout>
          </c:layou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7"/>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8"/>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29"/>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Lbl>
          <c:idx val="0"/>
          <c:layout>
            <c:manualLayout>
              <c:x val="9.031986435785494E-2"/>
              <c:y val="-0.11044322049715216"/>
            </c:manualLayout>
          </c:layou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31"/>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32"/>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
        <c:idx val="33"/>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Lbl>
          <c:idx val="0"/>
          <c:layout>
            <c:manualLayout>
              <c:x val="0.10623879580861201"/>
              <c:y val="5.5818498718590945E-2"/>
            </c:manualLayout>
          </c:layou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4"/>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894760277781493E-2"/>
          <c:y val="0.12001868265490423"/>
          <c:w val="0.77606457846664278"/>
          <c:h val="0.82014027893816321"/>
        </c:manualLayout>
      </c:layout>
      <c:pie3DChart>
        <c:varyColors val="1"/>
        <c:ser>
          <c:idx val="0"/>
          <c:order val="0"/>
          <c:tx>
            <c:strRef>
              <c:f>Report!$B$32</c:f>
              <c:strCache>
                <c:ptCount val="1"/>
                <c:pt idx="0">
                  <c:v>Total</c:v>
                </c:pt>
              </c:strCache>
            </c:strRef>
          </c:tx>
          <c:spPr>
            <a:scene3d>
              <a:camera prst="orthographicFront"/>
              <a:lightRig rig="threePt" dir="t"/>
            </a:scene3d>
            <a:sp3d prstMaterial="flat">
              <a:bevelT w="266700" h="139700" prst="cross"/>
              <a:bevelB w="139700" prst="cross"/>
              <a:contourClr>
                <a:srgbClr val="000000"/>
              </a:contourClr>
            </a:sp3d>
          </c:spPr>
          <c:dPt>
            <c:idx val="0"/>
            <c:bubble3D val="0"/>
            <c:spPr>
              <a:solidFill>
                <a:schemeClr val="accent1"/>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
            <c:bubble3D val="0"/>
            <c:spPr>
              <a:solidFill>
                <a:schemeClr val="accent2"/>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2"/>
            <c:bubble3D val="0"/>
            <c:spPr>
              <a:solidFill>
                <a:schemeClr val="accent3"/>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3"/>
            <c:bubble3D val="0"/>
            <c:spPr>
              <a:solidFill>
                <a:schemeClr val="accent4"/>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4"/>
            <c:bubble3D val="0"/>
            <c:spPr>
              <a:solidFill>
                <a:schemeClr val="accent5"/>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5"/>
            <c:bubble3D val="0"/>
            <c:spPr>
              <a:solidFill>
                <a:schemeClr val="accent6"/>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6"/>
            <c:bubble3D val="0"/>
            <c:spPr>
              <a:solidFill>
                <a:schemeClr val="accent1">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7"/>
            <c:bubble3D val="0"/>
            <c:spPr>
              <a:solidFill>
                <a:schemeClr val="accent2">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8"/>
            <c:bubble3D val="0"/>
            <c:spPr>
              <a:solidFill>
                <a:schemeClr val="accent3">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9"/>
            <c:bubble3D val="0"/>
            <c:spPr>
              <a:solidFill>
                <a:schemeClr val="accent4">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0"/>
            <c:bubble3D val="0"/>
            <c:spPr>
              <a:solidFill>
                <a:schemeClr val="accent5">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1"/>
            <c:bubble3D val="0"/>
            <c:spPr>
              <a:solidFill>
                <a:schemeClr val="accent6">
                  <a:lumMod val="6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prstMaterial="flat">
                <a:bevelT w="266700" h="139700" prst="cross"/>
                <a:bevelB w="139700" prst="cross"/>
                <a:contourClr>
                  <a:schemeClr val="lt1"/>
                </a:contourClr>
              </a:sp3d>
            </c:spPr>
          </c:dPt>
          <c:dLbls>
            <c:dLbl>
              <c:idx val="2"/>
              <c:layout>
                <c:manualLayout>
                  <c:x val="-0.10002608188814911"/>
                  <c:y val="4.9541427030042225E-2"/>
                </c:manualLayout>
              </c:layout>
              <c:showLegendKey val="0"/>
              <c:showVal val="0"/>
              <c:showCatName val="0"/>
              <c:showSerName val="0"/>
              <c:showPercent val="1"/>
              <c:showBubbleSize val="0"/>
              <c:extLst>
                <c:ext xmlns:c15="http://schemas.microsoft.com/office/drawing/2012/chart" uri="{CE6537A1-D6FC-4f65-9D91-7224C49458BB}">
                  <c15:layout/>
                </c:ext>
              </c:extLst>
            </c:dLbl>
            <c:dLbl>
              <c:idx val="6"/>
              <c:layout>
                <c:manualLayout>
                  <c:x val="-9.026139439733287E-2"/>
                  <c:y val="-0.16545933764444026"/>
                </c:manualLayout>
              </c:layout>
              <c:showLegendKey val="0"/>
              <c:showVal val="0"/>
              <c:showCatName val="0"/>
              <c:showSerName val="0"/>
              <c:showPercent val="1"/>
              <c:showBubbleSize val="0"/>
              <c:extLst>
                <c:ext xmlns:c15="http://schemas.microsoft.com/office/drawing/2012/chart" uri="{CE6537A1-D6FC-4f65-9D91-7224C49458BB}">
                  <c15:layout/>
                </c:ext>
              </c:extLst>
            </c:dLbl>
            <c:dLbl>
              <c:idx val="10"/>
              <c:layout>
                <c:manualLayout>
                  <c:x val="9.031986435785494E-2"/>
                  <c:y val="-0.11044322049715216"/>
                </c:manualLayout>
              </c:layout>
              <c:showLegendKey val="0"/>
              <c:showVal val="0"/>
              <c:showCatName val="0"/>
              <c:showSerName val="0"/>
              <c:showPercent val="1"/>
              <c:showBubbleSize val="0"/>
              <c:extLst>
                <c:ext xmlns:c15="http://schemas.microsoft.com/office/drawing/2012/chart" uri="{CE6537A1-D6FC-4f65-9D91-7224C49458BB}">
                  <c15:layout/>
                </c:ext>
              </c:extLst>
            </c:dLbl>
            <c:dLbl>
              <c:idx val="14"/>
              <c:layout>
                <c:manualLayout>
                  <c:x val="0.10623879580861201"/>
                  <c:y val="5.5818498718590945E-2"/>
                </c:manualLayout>
              </c:layout>
              <c:showLegendKey val="0"/>
              <c:showVal val="0"/>
              <c:showCatName val="0"/>
              <c:showSerName val="0"/>
              <c:showPercent val="1"/>
              <c:showBubbleSize val="0"/>
              <c:extLst>
                <c:ext xmlns:c15="http://schemas.microsoft.com/office/drawing/2012/chart" uri="{CE6537A1-D6FC-4f65-9D91-7224C49458BB}">
                  <c15:layout/>
                </c:ext>
              </c:extLst>
            </c:dLbl>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Report!$A$33:$A$49</c:f>
              <c:strCache>
                <c:ptCount val="16"/>
                <c:pt idx="0">
                  <c:v>Mumbai</c:v>
                </c:pt>
                <c:pt idx="1">
                  <c:v>Amritsar</c:v>
                </c:pt>
                <c:pt idx="2">
                  <c:v>Delhi</c:v>
                </c:pt>
                <c:pt idx="3">
                  <c:v>Pune</c:v>
                </c:pt>
                <c:pt idx="4">
                  <c:v>Lakhnow</c:v>
                </c:pt>
                <c:pt idx="5">
                  <c:v>Ahmedabad</c:v>
                </c:pt>
                <c:pt idx="6">
                  <c:v>Surat</c:v>
                </c:pt>
                <c:pt idx="7">
                  <c:v>Chennai</c:v>
                </c:pt>
                <c:pt idx="8">
                  <c:v>Patna</c:v>
                </c:pt>
                <c:pt idx="9">
                  <c:v>Rajkot</c:v>
                </c:pt>
                <c:pt idx="10">
                  <c:v>Kolkata</c:v>
                </c:pt>
                <c:pt idx="11">
                  <c:v>Nagpur</c:v>
                </c:pt>
                <c:pt idx="12">
                  <c:v>Cuttack</c:v>
                </c:pt>
                <c:pt idx="13">
                  <c:v>Hyderabad</c:v>
                </c:pt>
                <c:pt idx="14">
                  <c:v>Jalandhar</c:v>
                </c:pt>
                <c:pt idx="15">
                  <c:v>Panipat</c:v>
                </c:pt>
              </c:strCache>
            </c:strRef>
          </c:cat>
          <c:val>
            <c:numRef>
              <c:f>Report!$B$33:$B$49</c:f>
              <c:numCache>
                <c:formatCode>"₹"\ #,##0</c:formatCode>
                <c:ptCount val="16"/>
                <c:pt idx="0">
                  <c:v>1352201.6666666667</c:v>
                </c:pt>
                <c:pt idx="1">
                  <c:v>1286463.3333333333</c:v>
                </c:pt>
                <c:pt idx="2">
                  <c:v>1096863</c:v>
                </c:pt>
                <c:pt idx="3">
                  <c:v>1290405</c:v>
                </c:pt>
                <c:pt idx="4">
                  <c:v>1277750.3333333333</c:v>
                </c:pt>
                <c:pt idx="5">
                  <c:v>993060.66666666663</c:v>
                </c:pt>
                <c:pt idx="6">
                  <c:v>1473479</c:v>
                </c:pt>
                <c:pt idx="7">
                  <c:v>1268922.6666666667</c:v>
                </c:pt>
                <c:pt idx="8">
                  <c:v>1329872.3333333333</c:v>
                </c:pt>
                <c:pt idx="9">
                  <c:v>1349527</c:v>
                </c:pt>
                <c:pt idx="10">
                  <c:v>1219706</c:v>
                </c:pt>
                <c:pt idx="11">
                  <c:v>1131824.3333333333</c:v>
                </c:pt>
                <c:pt idx="12">
                  <c:v>1212579.3333333333</c:v>
                </c:pt>
                <c:pt idx="13">
                  <c:v>1061309.6666666667</c:v>
                </c:pt>
                <c:pt idx="14">
                  <c:v>1057528.6666666667</c:v>
                </c:pt>
                <c:pt idx="15">
                  <c:v>1221076.3333333333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3185409902220575"/>
          <c:y val="7.4630778944192178E-2"/>
          <c:w val="0.1529305771899134"/>
          <c:h val="0.883926674331325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304799</xdr:colOff>
      <xdr:row>1</xdr:row>
      <xdr:rowOff>166686</xdr:rowOff>
    </xdr:from>
    <xdr:to>
      <xdr:col>8</xdr:col>
      <xdr:colOff>114300</xdr:colOff>
      <xdr:row>10</xdr:row>
      <xdr:rowOff>190499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195262</xdr:colOff>
      <xdr:row>15</xdr:row>
      <xdr:rowOff>52387</xdr:rowOff>
    </xdr:from>
    <xdr:to>
      <xdr:col>10</xdr:col>
      <xdr:colOff>361950</xdr:colOff>
      <xdr:row>28</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147637</xdr:colOff>
      <xdr:row>31</xdr:row>
      <xdr:rowOff>4761</xdr:rowOff>
    </xdr:from>
    <xdr:to>
      <xdr:col>10</xdr:col>
      <xdr:colOff>257175</xdr:colOff>
      <xdr:row>48</xdr:row>
      <xdr:rowOff>161924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5</xdr:row>
      <xdr:rowOff>0</xdr:rowOff>
    </xdr:to>
    <xdr:sp macro="" textlink="">
      <xdr:nvSpPr>
        <xdr:cNvPr id="2" name="Rectangle 1"/>
        <xdr:cNvSpPr/>
      </xdr:nvSpPr>
      <xdr:spPr>
        <a:xfrm>
          <a:off x="0" y="0"/>
          <a:ext cx="13471071" cy="952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oneCellAnchor>
    <xdr:from>
      <xdr:col>4</xdr:col>
      <xdr:colOff>100305</xdr:colOff>
      <xdr:row>0</xdr:row>
      <xdr:rowOff>0</xdr:rowOff>
    </xdr:from>
    <xdr:ext cx="5409622" cy="937629"/>
    <xdr:sp macro="" textlink="">
      <xdr:nvSpPr>
        <xdr:cNvPr id="3" name="Rectangle 2"/>
        <xdr:cNvSpPr/>
      </xdr:nvSpPr>
      <xdr:spPr>
        <a:xfrm>
          <a:off x="2538705" y="0"/>
          <a:ext cx="5409622" cy="937629"/>
        </a:xfrm>
        <a:prstGeom prst="rect">
          <a:avLst/>
        </a:prstGeom>
        <a:noFill/>
      </xdr:spPr>
      <xdr:txBody>
        <a:bodyPr wrap="none" lIns="91440" tIns="45720" rIns="91440" bIns="45720">
          <a:spAutoFit/>
        </a:bodyPr>
        <a:lstStyle/>
        <a:p>
          <a:pPr algn="ctr"/>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rPr>
            <a:t>Analysis Of</a:t>
          </a:r>
          <a:r>
            <a:rPr lang="en-US" sz="5400" b="1" cap="none" spc="50" baseline="0">
              <a:ln w="9525" cmpd="sng">
                <a:solidFill>
                  <a:schemeClr val="accent1"/>
                </a:solidFill>
                <a:prstDash val="solid"/>
              </a:ln>
              <a:solidFill>
                <a:srgbClr val="70AD47">
                  <a:tint val="1000"/>
                </a:srgbClr>
              </a:solidFill>
              <a:effectLst>
                <a:glow rad="38100">
                  <a:schemeClr val="accent1">
                    <a:alpha val="40000"/>
                  </a:schemeClr>
                </a:glow>
              </a:effectLst>
            </a:rPr>
            <a:t> Salary</a:t>
          </a:r>
          <a:endPar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editAs="oneCell">
    <xdr:from>
      <xdr:col>0</xdr:col>
      <xdr:colOff>238126</xdr:colOff>
      <xdr:row>0</xdr:row>
      <xdr:rowOff>0</xdr:rowOff>
    </xdr:from>
    <xdr:to>
      <xdr:col>2</xdr:col>
      <xdr:colOff>247650</xdr:colOff>
      <xdr:row>4</xdr:row>
      <xdr:rowOff>180974</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6" y="0"/>
          <a:ext cx="1228724" cy="942974"/>
        </a:xfrm>
        <a:prstGeom prst="rect">
          <a:avLst/>
        </a:prstGeom>
      </xdr:spPr>
    </xdr:pic>
    <xdr:clientData/>
  </xdr:twoCellAnchor>
  <xdr:twoCellAnchor>
    <xdr:from>
      <xdr:col>0</xdr:col>
      <xdr:colOff>0</xdr:colOff>
      <xdr:row>29</xdr:row>
      <xdr:rowOff>136070</xdr:rowOff>
    </xdr:from>
    <xdr:to>
      <xdr:col>5</xdr:col>
      <xdr:colOff>419101</xdr:colOff>
      <xdr:row>38</xdr:row>
      <xdr:rowOff>159883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517071</xdr:colOff>
      <xdr:row>5</xdr:row>
      <xdr:rowOff>13608</xdr:rowOff>
    </xdr:from>
    <xdr:to>
      <xdr:col>22</xdr:col>
      <xdr:colOff>30616</xdr:colOff>
      <xdr:row>29</xdr:row>
      <xdr:rowOff>108858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xdr:row>
      <xdr:rowOff>27214</xdr:rowOff>
    </xdr:from>
    <xdr:to>
      <xdr:col>8</xdr:col>
      <xdr:colOff>40822</xdr:colOff>
      <xdr:row>29</xdr:row>
      <xdr:rowOff>136071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136071</xdr:colOff>
      <xdr:row>5</xdr:row>
      <xdr:rowOff>0</xdr:rowOff>
    </xdr:from>
    <xdr:to>
      <xdr:col>11</xdr:col>
      <xdr:colOff>40821</xdr:colOff>
      <xdr:row>29</xdr:row>
      <xdr:rowOff>136072</xdr:rowOff>
    </xdr:to>
    <mc:AlternateContent xmlns:mc="http://schemas.openxmlformats.org/markup-compatibility/2006" xmlns:a14="http://schemas.microsoft.com/office/drawing/2010/main">
      <mc:Choice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995201" y="966304"/>
              <a:ext cx="1726924" cy="4774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68035</xdr:colOff>
      <xdr:row>5</xdr:row>
      <xdr:rowOff>13607</xdr:rowOff>
    </xdr:from>
    <xdr:to>
      <xdr:col>13</xdr:col>
      <xdr:colOff>517071</xdr:colOff>
      <xdr:row>29</xdr:row>
      <xdr:rowOff>136071</xdr:rowOff>
    </xdr:to>
    <mc:AlternateContent xmlns:mc="http://schemas.openxmlformats.org/markup-compatibility/2006" xmlns:a14="http://schemas.microsoft.com/office/drawing/2010/main">
      <mc:Choice Requires="a14">
        <xdr:graphicFrame macro="">
          <xdr:nvGraphicFramePr>
            <xdr:cNvPr id="9"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749339" y="979911"/>
              <a:ext cx="1663819" cy="476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435430</xdr:colOff>
      <xdr:row>29</xdr:row>
      <xdr:rowOff>163284</xdr:rowOff>
    </xdr:from>
    <xdr:to>
      <xdr:col>8</xdr:col>
      <xdr:colOff>427266</xdr:colOff>
      <xdr:row>38</xdr:row>
      <xdr:rowOff>176893</xdr:rowOff>
    </xdr:to>
    <mc:AlternateContent xmlns:mc="http://schemas.openxmlformats.org/markup-compatibility/2006" xmlns:a14="http://schemas.microsoft.com/office/drawing/2010/main">
      <mc:Choice Requires="a14">
        <xdr:graphicFrame macro="">
          <xdr:nvGraphicFramePr>
            <xdr:cNvPr id="10" name="Experience level"/>
            <xdr:cNvGraphicFramePr/>
          </xdr:nvGraphicFramePr>
          <xdr:xfrm>
            <a:off x="0" y="0"/>
            <a:ext cx="0" cy="0"/>
          </xdr:xfrm>
          <a:graphic>
            <a:graphicData uri="http://schemas.microsoft.com/office/drawing/2010/slicer">
              <sle:slicer xmlns:sle="http://schemas.microsoft.com/office/drawing/2010/slicer" name="Experience level"/>
            </a:graphicData>
          </a:graphic>
        </xdr:graphicFrame>
      </mc:Choice>
      <mc:Fallback xmlns="">
        <xdr:sp macro="" textlink="">
          <xdr:nvSpPr>
            <xdr:cNvPr id="0" name=""/>
            <xdr:cNvSpPr>
              <a:spLocks noTextEdit="1"/>
            </xdr:cNvSpPr>
          </xdr:nvSpPr>
          <xdr:spPr>
            <a:xfrm>
              <a:off x="3472387" y="5767849"/>
              <a:ext cx="1814009" cy="1752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andom_employee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62.396896296297" createdVersion="5" refreshedVersion="5" minRefreshableVersion="3" recordCount="48">
  <cacheSource type="worksheet">
    <worksheetSource ref="A1:N49" sheet="Sheet1" r:id="rId2"/>
  </cacheSource>
  <cacheFields count="14">
    <cacheField name="Emp_ID" numFmtId="0">
      <sharedItems/>
    </cacheField>
    <cacheField name="Name" numFmtId="0">
      <sharedItems/>
    </cacheField>
    <cacheField name="Date of Joining" numFmtId="164">
      <sharedItems containsSemiMixedTypes="0" containsNonDate="0" containsDate="1" containsString="0" minDate="2012-05-10T00:00:00" maxDate="2024-07-19T00:00:00"/>
    </cacheField>
    <cacheField name="Gender" numFmtId="0">
      <sharedItems/>
    </cacheField>
    <cacheField name="Date of Birth" numFmtId="14">
      <sharedItems containsSemiMixedTypes="0" containsNonDate="0" containsDate="1" containsString="0" minDate="1986-01-20T00:00:00" maxDate="1990-12-14T00:00:00"/>
    </cacheField>
    <cacheField name="Age" numFmtId="0">
      <sharedItems containsSemiMixedTypes="0" containsString="0" containsNumber="1" containsInteger="1" minValue="35" maxValue="40"/>
    </cacheField>
    <cacheField name="Email_ID" numFmtId="0">
      <sharedItems/>
    </cacheField>
    <cacheField name="M_Salary" numFmtId="165">
      <sharedItems containsSemiMixedTypes="0" containsString="0" containsNumber="1" containsInteger="1" minValue="62965" maxValue="134698"/>
    </cacheField>
    <cacheField name="Bonos" numFmtId="0">
      <sharedItems containsSemiMixedTypes="0" containsString="0" containsNumber="1" minValue="3.0689539036579561E-2" maxValue="0.99078058958305115"/>
    </cacheField>
    <cacheField name="Annual_Salary" numFmtId="166">
      <sharedItems containsSemiMixedTypes="0" containsString="0" containsNumber="1" containsInteger="1" minValue="786396" maxValue="1734493"/>
    </cacheField>
    <cacheField name="City" numFmtId="0">
      <sharedItems count="16">
        <s v="Mumbai"/>
        <s v="Amritsar"/>
        <s v="Delhi"/>
        <s v="Pune"/>
        <s v="Lakhnow"/>
        <s v="Ahmedabad"/>
        <s v="Surat"/>
        <s v="Chennai"/>
        <s v="Patna"/>
        <s v="Rajkot"/>
        <s v="Kolkata"/>
        <s v="Nagpur"/>
        <s v="Cuttack"/>
        <s v="Hyderabad"/>
        <s v="Jalandhar"/>
        <s v="Panipat"/>
      </sharedItems>
    </cacheField>
    <cacheField name="Department" numFmtId="0">
      <sharedItems count="12">
        <s v="HR"/>
        <s v="Finance"/>
        <s v="Accounting"/>
        <s v="Sales"/>
        <s v="Marketing"/>
        <s v="IT"/>
        <s v="Production"/>
        <s v="QA"/>
        <s v="Security"/>
        <s v="Maintenance"/>
        <s v="Analytics"/>
        <s v="Admin"/>
      </sharedItems>
    </cacheField>
    <cacheField name="Tenure" numFmtId="0">
      <sharedItems containsSemiMixedTypes="0" containsString="0" containsNumber="1" containsInteger="1" minValue="1" maxValue="14" count="14">
        <n v="4"/>
        <n v="2"/>
        <n v="12"/>
        <n v="1"/>
        <n v="8"/>
        <n v="11"/>
        <n v="6"/>
        <n v="5"/>
        <n v="9"/>
        <n v="3"/>
        <n v="10"/>
        <n v="7"/>
        <n v="14"/>
        <n v="13"/>
      </sharedItems>
    </cacheField>
    <cacheField name="Experience level" numFmtId="0">
      <sharedItems count="4">
        <s v="Junior"/>
        <s v="Fresher"/>
        <s v="Senior"/>
        <s v="Mi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8">
  <r>
    <s v="AX101"/>
    <s v="Rohit"/>
    <d v="2022-04-17T00:00:00"/>
    <s v="Male"/>
    <d v="1986-09-07T00:00:00"/>
    <n v="39"/>
    <s v="rohit.@axender.co.in"/>
    <n v="128057"/>
    <n v="0.38624335546581379"/>
    <n v="1586146"/>
    <x v="0"/>
    <x v="0"/>
    <x v="0"/>
    <x v="0"/>
  </r>
  <r>
    <s v="AX102"/>
    <s v="Dhawan"/>
    <d v="2023-12-12T00:00:00"/>
    <s v="Male"/>
    <d v="1988-07-07T00:00:00"/>
    <n v="37"/>
    <s v="dhawan.@axender.co.in"/>
    <n v="92193"/>
    <n v="0.35737360967500864"/>
    <n v="1139264"/>
    <x v="1"/>
    <x v="1"/>
    <x v="1"/>
    <x v="1"/>
  </r>
  <r>
    <s v="AX103"/>
    <s v="Virat"/>
    <d v="2013-10-05T00:00:00"/>
    <s v="Male"/>
    <d v="1988-02-18T00:00:00"/>
    <n v="38"/>
    <s v="virat.@axender.co.in"/>
    <n v="73175"/>
    <n v="0.97148014213660727"/>
    <n v="949189"/>
    <x v="2"/>
    <x v="2"/>
    <x v="2"/>
    <x v="2"/>
  </r>
  <r>
    <s v="AX104"/>
    <s v="Ajinkya"/>
    <d v="2024-07-18T00:00:00"/>
    <s v="Male"/>
    <d v="1990-05-08T00:00:00"/>
    <n v="36"/>
    <s v="ajinkya.@axender.co.in"/>
    <n v="81411"/>
    <n v="8.3960156852701306E-2"/>
    <n v="983768"/>
    <x v="3"/>
    <x v="3"/>
    <x v="3"/>
    <x v="1"/>
  </r>
  <r>
    <s v="AX105"/>
    <s v="Rishabh"/>
    <d v="2017-06-28T00:00:00"/>
    <s v="Male"/>
    <d v="1987-02-11T00:00:00"/>
    <n v="39"/>
    <s v="rishabh.@axender.co.in"/>
    <n v="73144"/>
    <n v="0.49737687966391464"/>
    <n v="914109"/>
    <x v="4"/>
    <x v="4"/>
    <x v="4"/>
    <x v="3"/>
  </r>
  <r>
    <s v="AX106"/>
    <s v="Hardik"/>
    <d v="2017-10-15T00:00:00"/>
    <s v="Male"/>
    <d v="1988-10-19T00:00:00"/>
    <n v="37"/>
    <s v="hardik.@axender.co.in"/>
    <n v="89468"/>
    <n v="0.75678151975030361"/>
    <n v="1141324"/>
    <x v="5"/>
    <x v="5"/>
    <x v="4"/>
    <x v="3"/>
  </r>
  <r>
    <s v="AX107"/>
    <s v="Jadeja"/>
    <d v="2022-02-28T00:00:00"/>
    <s v="Male"/>
    <d v="1989-11-24T00:00:00"/>
    <n v="36"/>
    <s v="jadeja.@axender.co.in"/>
    <n v="131195"/>
    <n v="0.68260967450478949"/>
    <n v="1663895"/>
    <x v="6"/>
    <x v="6"/>
    <x v="0"/>
    <x v="0"/>
  </r>
  <r>
    <s v="AX108"/>
    <s v="Ashwin"/>
    <d v="2014-08-24T00:00:00"/>
    <s v="Male"/>
    <d v="1986-03-13T00:00:00"/>
    <n v="40"/>
    <s v="ashwin.@axender.co.in"/>
    <n v="99128"/>
    <n v="0.33677297142020091"/>
    <n v="1222920"/>
    <x v="7"/>
    <x v="7"/>
    <x v="5"/>
    <x v="2"/>
  </r>
  <r>
    <s v="AX109"/>
    <s v="Bhuvaneshwar"/>
    <d v="2014-01-06T00:00:00"/>
    <s v="Male"/>
    <d v="1989-12-06T00:00:00"/>
    <n v="36"/>
    <s v="bhuvaneshwar.@axender.co.in"/>
    <n v="117707"/>
    <n v="0.39843074547535007"/>
    <n v="1459383"/>
    <x v="8"/>
    <x v="8"/>
    <x v="2"/>
    <x v="2"/>
  </r>
  <r>
    <s v="AX110"/>
    <s v="Bumrah"/>
    <d v="2019-12-02T00:00:00"/>
    <s v="Male"/>
    <d v="1990-02-25T00:00:00"/>
    <n v="36"/>
    <s v="bumrah.@axender.co.in"/>
    <n v="121244"/>
    <n v="0.68116382575482604"/>
    <n v="1537516"/>
    <x v="9"/>
    <x v="9"/>
    <x v="6"/>
    <x v="3"/>
  </r>
  <r>
    <s v="AX111"/>
    <s v="Shami"/>
    <d v="2014-08-27T00:00:00"/>
    <s v="Male"/>
    <d v="1990-07-04T00:00:00"/>
    <n v="35"/>
    <s v="shami.@axender.co.in"/>
    <n v="88697"/>
    <n v="0.58018370105028105"/>
    <n v="1115825"/>
    <x v="10"/>
    <x v="10"/>
    <x v="5"/>
    <x v="2"/>
  </r>
  <r>
    <s v="AX112"/>
    <s v="Smriti"/>
    <d v="2015-04-12T00:00:00"/>
    <s v="Female"/>
    <d v="1990-10-11T00:00:00"/>
    <n v="35"/>
    <s v="smriti.@axender.co.in"/>
    <n v="102652"/>
    <n v="0.56160232865886339"/>
    <n v="1289474"/>
    <x v="11"/>
    <x v="11"/>
    <x v="5"/>
    <x v="2"/>
  </r>
  <r>
    <s v="AX113"/>
    <s v="Dipti"/>
    <d v="2021-05-12T00:00:00"/>
    <s v="Female"/>
    <d v="1988-02-05T00:00:00"/>
    <n v="38"/>
    <s v="dipti.@axender.co.in"/>
    <n v="64155"/>
    <n v="0.32400510414098105"/>
    <n v="790647"/>
    <x v="12"/>
    <x v="0"/>
    <x v="7"/>
    <x v="0"/>
  </r>
  <r>
    <s v="AX114"/>
    <s v="Jemina"/>
    <d v="2016-09-17T00:00:00"/>
    <s v="Female"/>
    <d v="1989-11-26T00:00:00"/>
    <n v="36"/>
    <s v="jemina.@axender.co.in"/>
    <n v="85230"/>
    <n v="4.2308858487364653E-2"/>
    <n v="1026366"/>
    <x v="13"/>
    <x v="1"/>
    <x v="8"/>
    <x v="3"/>
  </r>
  <r>
    <s v="AX115"/>
    <s v="Harmanpreet"/>
    <d v="2018-02-03T00:00:00"/>
    <s v="Female"/>
    <d v="1986-07-11T00:00:00"/>
    <n v="39"/>
    <s v="harmanpreet.@axender.co.in"/>
    <n v="80240"/>
    <n v="0.1612936297339308"/>
    <n v="975823"/>
    <x v="14"/>
    <x v="2"/>
    <x v="4"/>
    <x v="3"/>
  </r>
  <r>
    <s v="AX116"/>
    <s v="Shubhman"/>
    <d v="2017-01-15T00:00:00"/>
    <s v="Male"/>
    <d v="1988-02-09T00:00:00"/>
    <n v="38"/>
    <s v="shubhman.@axender.co.in"/>
    <n v="86416"/>
    <n v="0.24046071396591306"/>
    <n v="1057772"/>
    <x v="15"/>
    <x v="3"/>
    <x v="8"/>
    <x v="3"/>
  </r>
  <r>
    <s v="AX117"/>
    <s v="Rohit"/>
    <d v="2022-06-27T00:00:00"/>
    <s v="Male"/>
    <d v="1987-05-06T00:00:00"/>
    <n v="39"/>
    <s v="rohit.1@axender.co.in"/>
    <n v="134269"/>
    <n v="0.44215928472701693"/>
    <n v="1670597"/>
    <x v="0"/>
    <x v="4"/>
    <x v="9"/>
    <x v="0"/>
  </r>
  <r>
    <s v="AX118"/>
    <s v="Dhawan"/>
    <d v="2024-04-30T00:00:00"/>
    <s v="Male"/>
    <d v="1986-06-28T00:00:00"/>
    <n v="39"/>
    <s v="dhawan.1@axender.co.in"/>
    <n v="127037"/>
    <n v="0.70610956934501301"/>
    <n v="1614147"/>
    <x v="1"/>
    <x v="5"/>
    <x v="1"/>
    <x v="1"/>
  </r>
  <r>
    <s v="AX119"/>
    <s v="Virat"/>
    <d v="2022-01-22T00:00:00"/>
    <s v="Male"/>
    <d v="1990-02-21T00:00:00"/>
    <n v="36"/>
    <s v="virat.1@axender.co.in"/>
    <n v="86070"/>
    <n v="0.44794796573956108"/>
    <n v="1071395"/>
    <x v="2"/>
    <x v="6"/>
    <x v="0"/>
    <x v="0"/>
  </r>
  <r>
    <s v="AX120"/>
    <s v="Ajinkya"/>
    <d v="2024-01-14T00:00:00"/>
    <s v="Male"/>
    <d v="1990-02-07T00:00:00"/>
    <n v="36"/>
    <s v="ajinkya.1@axender.co.in"/>
    <n v="92607"/>
    <n v="0.44995795416714612"/>
    <n v="1152954"/>
    <x v="3"/>
    <x v="7"/>
    <x v="1"/>
    <x v="1"/>
  </r>
  <r>
    <s v="AX121"/>
    <s v="Rishabh"/>
    <d v="2015-08-16T00:00:00"/>
    <s v="Male"/>
    <d v="1988-07-16T00:00:00"/>
    <n v="37"/>
    <s v="rishabh.1@axender.co.in"/>
    <n v="103666"/>
    <n v="0.26114398334564426"/>
    <n v="1271064"/>
    <x v="4"/>
    <x v="8"/>
    <x v="10"/>
    <x v="3"/>
  </r>
  <r>
    <s v="AX122"/>
    <s v="Hardik"/>
    <d v="2023-06-02T00:00:00"/>
    <s v="Male"/>
    <d v="1987-10-10T00:00:00"/>
    <n v="38"/>
    <s v="hardik.1@axender.co.in"/>
    <n v="84630"/>
    <n v="0.42421143238899484"/>
    <n v="1051462"/>
    <x v="5"/>
    <x v="9"/>
    <x v="1"/>
    <x v="1"/>
  </r>
  <r>
    <s v="AX123"/>
    <s v="Jadeja"/>
    <d v="2014-05-26T00:00:00"/>
    <s v="Male"/>
    <d v="1988-02-08T00:00:00"/>
    <n v="38"/>
    <s v="jadeja.1@axender.co.in"/>
    <n v="112764"/>
    <n v="0.10274126589402532"/>
    <n v="1364754"/>
    <x v="6"/>
    <x v="10"/>
    <x v="5"/>
    <x v="2"/>
  </r>
  <r>
    <s v="AX124"/>
    <s v="Ashwin"/>
    <d v="2018-10-08T00:00:00"/>
    <s v="Male"/>
    <d v="1987-12-03T00:00:00"/>
    <n v="38"/>
    <s v="ashwin.1@axender.co.in"/>
    <n v="118155"/>
    <n v="0.99078058958305115"/>
    <n v="1534926"/>
    <x v="7"/>
    <x v="11"/>
    <x v="11"/>
    <x v="3"/>
  </r>
  <r>
    <s v="AX125"/>
    <s v="Bhuvaneshwar"/>
    <d v="2015-11-19T00:00:00"/>
    <s v="Male"/>
    <d v="1988-05-08T00:00:00"/>
    <n v="38"/>
    <s v="bhuvaneshwar.1@axender.co.in"/>
    <n v="123173"/>
    <n v="3.0689539036579561E-2"/>
    <n v="1481857"/>
    <x v="8"/>
    <x v="0"/>
    <x v="10"/>
    <x v="3"/>
  </r>
  <r>
    <s v="AX126"/>
    <s v="Bumrah"/>
    <d v="2017-12-22T00:00:00"/>
    <s v="Male"/>
    <d v="1989-12-15T00:00:00"/>
    <n v="36"/>
    <s v="bumrah.1@axender.co.in"/>
    <n v="73401"/>
    <n v="0.60221372846494625"/>
    <n v="925016"/>
    <x v="9"/>
    <x v="1"/>
    <x v="4"/>
    <x v="3"/>
  </r>
  <r>
    <s v="AX127"/>
    <s v="Shami"/>
    <d v="2022-06-22T00:00:00"/>
    <s v="Male"/>
    <d v="1989-03-30T00:00:00"/>
    <n v="37"/>
    <s v="shami.1@axender.co.in"/>
    <n v="105555"/>
    <n v="0.11060035544654745"/>
    <n v="1278335"/>
    <x v="10"/>
    <x v="2"/>
    <x v="9"/>
    <x v="0"/>
  </r>
  <r>
    <s v="AX128"/>
    <s v="Smriti"/>
    <d v="2017-06-19T00:00:00"/>
    <s v="Female"/>
    <d v="1986-11-09T00:00:00"/>
    <n v="39"/>
    <s v="smriti.1@axender.co.in"/>
    <n v="81302"/>
    <n v="0.91049058907542724"/>
    <n v="1049649"/>
    <x v="11"/>
    <x v="3"/>
    <x v="4"/>
    <x v="3"/>
  </r>
  <r>
    <s v="AX129"/>
    <s v="Dipti"/>
    <d v="2015-03-03T00:00:00"/>
    <s v="Female"/>
    <d v="1987-06-14T00:00:00"/>
    <n v="38"/>
    <s v="dipti.1@axender.co.in"/>
    <n v="94626"/>
    <n v="0.78994502349332052"/>
    <n v="1210262"/>
    <x v="12"/>
    <x v="4"/>
    <x v="5"/>
    <x v="2"/>
  </r>
  <r>
    <s v="AX130"/>
    <s v="Jemina"/>
    <d v="2024-02-12T00:00:00"/>
    <s v="Female"/>
    <d v="1988-08-08T00:00:00"/>
    <n v="37"/>
    <s v="jemina.1@axender.co.in"/>
    <n v="104403"/>
    <n v="0.38088419696197684"/>
    <n v="1292602"/>
    <x v="13"/>
    <x v="5"/>
    <x v="1"/>
    <x v="1"/>
  </r>
  <r>
    <s v="AX131"/>
    <s v="Harmanpreet"/>
    <d v="2015-09-24T00:00:00"/>
    <s v="Female"/>
    <d v="1989-06-19T00:00:00"/>
    <n v="36"/>
    <s v="harmanpreet.1@axender.co.in"/>
    <n v="98043"/>
    <n v="0.60816444354474852"/>
    <n v="1236143"/>
    <x v="14"/>
    <x v="6"/>
    <x v="10"/>
    <x v="3"/>
  </r>
  <r>
    <s v="AX132"/>
    <s v="Shubhman"/>
    <d v="2017-09-23T00:00:00"/>
    <s v="Male"/>
    <d v="1988-08-07T00:00:00"/>
    <n v="37"/>
    <s v="shubhman.1@axender.co.in"/>
    <n v="131771"/>
    <n v="0.6761449150836405"/>
    <n v="1670349"/>
    <x v="15"/>
    <x v="7"/>
    <x v="4"/>
    <x v="3"/>
  </r>
  <r>
    <s v="AX133"/>
    <s v="Rohit"/>
    <d v="2012-05-10T00:00:00"/>
    <s v="Male"/>
    <d v="1987-10-21T00:00:00"/>
    <n v="38"/>
    <s v="rohit.2@axender.co.in"/>
    <n v="63541"/>
    <n v="0.5881122647323791"/>
    <n v="799862"/>
    <x v="0"/>
    <x v="8"/>
    <x v="12"/>
    <x v="2"/>
  </r>
  <r>
    <s v="AX134"/>
    <s v="Dhawan"/>
    <d v="2022-10-31T00:00:00"/>
    <s v="Male"/>
    <d v="1986-04-27T00:00:00"/>
    <n v="40"/>
    <s v="dhawan.2@axender.co.in"/>
    <n v="89079"/>
    <n v="0.41570307981497434"/>
    <n v="1105979"/>
    <x v="1"/>
    <x v="9"/>
    <x v="9"/>
    <x v="0"/>
  </r>
  <r>
    <s v="AX135"/>
    <s v="Virat"/>
    <d v="2013-10-28T00:00:00"/>
    <s v="Male"/>
    <d v="1989-11-30T00:00:00"/>
    <n v="36"/>
    <s v="virat.2@axender.co.in"/>
    <n v="102210"/>
    <n v="0.42544460295842168"/>
    <n v="1270005"/>
    <x v="2"/>
    <x v="10"/>
    <x v="2"/>
    <x v="2"/>
  </r>
  <r>
    <s v="AX136"/>
    <s v="Ajinkya"/>
    <d v="2015-04-15T00:00:00"/>
    <s v="Male"/>
    <d v="1987-06-23T00:00:00"/>
    <n v="38"/>
    <s v="ajinkya.2@axender.co.in"/>
    <n v="134698"/>
    <n v="0.8768962753016436"/>
    <n v="1734493"/>
    <x v="3"/>
    <x v="11"/>
    <x v="5"/>
    <x v="2"/>
  </r>
  <r>
    <s v="AX137"/>
    <s v="Rishabh"/>
    <d v="2020-05-27T00:00:00"/>
    <s v="Male"/>
    <d v="1989-05-27T00:00:00"/>
    <n v="36"/>
    <s v="rishabh.2@axender.co.in"/>
    <n v="130774"/>
    <n v="0.60248488178713511"/>
    <n v="1648078"/>
    <x v="4"/>
    <x v="0"/>
    <x v="7"/>
    <x v="0"/>
  </r>
  <r>
    <s v="AX138"/>
    <s v="Hardik"/>
    <d v="2022-12-18T00:00:00"/>
    <s v="Male"/>
    <d v="1989-11-01T00:00:00"/>
    <n v="36"/>
    <s v="hardik.2@axender.co.in"/>
    <n v="62965"/>
    <n v="0.48940756829908494"/>
    <n v="786396"/>
    <x v="5"/>
    <x v="1"/>
    <x v="9"/>
    <x v="0"/>
  </r>
  <r>
    <s v="AX139"/>
    <s v="Jadeja"/>
    <d v="2018-05-30T00:00:00"/>
    <s v="Male"/>
    <d v="1987-10-27T00:00:00"/>
    <n v="38"/>
    <s v="jadeja.2@axender.co.in"/>
    <n v="107480"/>
    <n v="0.9492678634182149"/>
    <n v="1391788"/>
    <x v="6"/>
    <x v="2"/>
    <x v="11"/>
    <x v="3"/>
  </r>
  <r>
    <s v="AX140"/>
    <s v="Ashwin"/>
    <d v="2016-03-23T00:00:00"/>
    <s v="Male"/>
    <d v="1987-05-08T00:00:00"/>
    <n v="39"/>
    <s v="ashwin.2@axender.co.in"/>
    <n v="82958"/>
    <n v="0.64400534516858721"/>
    <n v="1048922"/>
    <x v="7"/>
    <x v="3"/>
    <x v="10"/>
    <x v="3"/>
  </r>
  <r>
    <s v="AX141"/>
    <s v="Bhuvaneshwar"/>
    <d v="2013-10-13T00:00:00"/>
    <s v="Male"/>
    <d v="1988-10-12T00:00:00"/>
    <n v="37"/>
    <s v="bhuvaneshwar.2@axender.co.in"/>
    <n v="86950"/>
    <n v="5.7233006606269066E-2"/>
    <n v="1048377"/>
    <x v="8"/>
    <x v="4"/>
    <x v="2"/>
    <x v="2"/>
  </r>
  <r>
    <s v="AX142"/>
    <s v="Bumrah"/>
    <d v="2014-06-04T00:00:00"/>
    <s v="Male"/>
    <d v="1989-09-09T00:00:00"/>
    <n v="36"/>
    <s v="bumrah.2@axender.co.in"/>
    <n v="122316"/>
    <n v="0.96681403195115256"/>
    <n v="1586049"/>
    <x v="9"/>
    <x v="5"/>
    <x v="5"/>
    <x v="2"/>
  </r>
  <r>
    <s v="AX143"/>
    <s v="Shami"/>
    <d v="2017-10-10T00:00:00"/>
    <s v="Male"/>
    <d v="1987-01-25T00:00:00"/>
    <n v="39"/>
    <s v="shami.2@axender.co.in"/>
    <n v="99779"/>
    <n v="0.67759423486928894"/>
    <n v="1264958"/>
    <x v="10"/>
    <x v="6"/>
    <x v="4"/>
    <x v="3"/>
  </r>
  <r>
    <s v="AX144"/>
    <s v="Smriti"/>
    <d v="2013-03-07T00:00:00"/>
    <s v="Female"/>
    <d v="1988-03-06T00:00:00"/>
    <n v="38"/>
    <s v="smriti.2@axender.co.in"/>
    <n v="82160"/>
    <n v="0.85722319584530104"/>
    <n v="1056350"/>
    <x v="11"/>
    <x v="7"/>
    <x v="13"/>
    <x v="2"/>
  </r>
  <r>
    <s v="AX145"/>
    <s v="Dipti"/>
    <d v="2019-01-11T00:00:00"/>
    <s v="Female"/>
    <d v="1986-03-31T00:00:00"/>
    <n v="40"/>
    <s v="dipti.2@axender.co.in"/>
    <n v="132665"/>
    <n v="0.33805460130978859"/>
    <n v="1636829"/>
    <x v="12"/>
    <x v="8"/>
    <x v="11"/>
    <x v="3"/>
  </r>
  <r>
    <s v="AX146"/>
    <s v="Jemina"/>
    <d v="2017-09-04T00:00:00"/>
    <s v="Female"/>
    <d v="1986-01-20T00:00:00"/>
    <n v="40"/>
    <s v="jemina.2@axender.co.in"/>
    <n v="66737"/>
    <n v="0.96073005637734876"/>
    <n v="864961"/>
    <x v="13"/>
    <x v="9"/>
    <x v="4"/>
    <x v="3"/>
  </r>
  <r>
    <s v="AX147"/>
    <s v="Harmanpreet"/>
    <d v="2013-06-15T00:00:00"/>
    <s v="Female"/>
    <d v="1986-08-04T00:00:00"/>
    <n v="39"/>
    <s v="harmanpreet.2@axender.co.in"/>
    <n v="79220"/>
    <n v="0.12597450049100101"/>
    <n v="960620"/>
    <x v="14"/>
    <x v="10"/>
    <x v="2"/>
    <x v="2"/>
  </r>
  <r>
    <s v="AX148"/>
    <s v="Shubhman"/>
    <d v="2017-02-20T00:00:00"/>
    <s v="Male"/>
    <d v="1990-12-13T00:00:00"/>
    <n v="35"/>
    <s v="shubhman.2@axender.co.in"/>
    <n v="75057"/>
    <n v="0.45863804400417607"/>
    <n v="935108"/>
    <x v="15"/>
    <x v="11"/>
    <x v="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16:B29" firstHeaderRow="1" firstDataRow="1" firstDataCol="1"/>
  <pivotFields count="14">
    <pivotField showAll="0"/>
    <pivotField showAll="0"/>
    <pivotField numFmtId="164" showAll="0"/>
    <pivotField showAll="0"/>
    <pivotField numFmtId="14" showAll="0"/>
    <pivotField showAll="0"/>
    <pivotField showAll="0"/>
    <pivotField numFmtId="165" showAll="0"/>
    <pivotField showAll="0"/>
    <pivotField dataField="1" numFmtId="166" showAll="0"/>
    <pivotField showAll="0">
      <items count="17">
        <item x="0"/>
        <item x="1"/>
        <item x="2"/>
        <item x="3"/>
        <item x="4"/>
        <item x="5"/>
        <item x="6"/>
        <item x="7"/>
        <item x="8"/>
        <item x="9"/>
        <item x="10"/>
        <item x="11"/>
        <item x="12"/>
        <item x="13"/>
        <item x="14"/>
        <item x="15"/>
        <item t="default"/>
      </items>
    </pivotField>
    <pivotField axis="axisRow" showAll="0">
      <items count="13">
        <item x="0"/>
        <item x="1"/>
        <item x="2"/>
        <item x="3"/>
        <item x="4"/>
        <item x="5"/>
        <item x="6"/>
        <item x="7"/>
        <item x="8"/>
        <item x="9"/>
        <item x="10"/>
        <item x="11"/>
        <item t="default"/>
      </items>
    </pivotField>
    <pivotField showAll="0">
      <items count="15">
        <item x="3"/>
        <item x="1"/>
        <item x="9"/>
        <item x="0"/>
        <item x="7"/>
        <item x="6"/>
        <item x="11"/>
        <item x="4"/>
        <item x="8"/>
        <item x="10"/>
        <item x="5"/>
        <item x="2"/>
        <item x="13"/>
        <item x="12"/>
        <item t="default"/>
      </items>
    </pivotField>
    <pivotField showAll="0">
      <items count="5">
        <item x="1"/>
        <item x="0"/>
        <item x="3"/>
        <item x="2"/>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Average of Annual_Salary" fld="9" subtotal="average" baseField="11" baseItem="0"/>
  </dataFields>
  <formats count="1">
    <format dxfId="0">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1" count="1" selected="0">
            <x v="7"/>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8" firstHeaderRow="1" firstDataRow="1" firstDataCol="1"/>
  <pivotFields count="14">
    <pivotField showAll="0"/>
    <pivotField showAll="0"/>
    <pivotField numFmtId="164" showAll="0"/>
    <pivotField showAll="0"/>
    <pivotField numFmtId="14" showAll="0"/>
    <pivotField showAll="0"/>
    <pivotField showAll="0"/>
    <pivotField numFmtId="165" showAll="0"/>
    <pivotField showAll="0"/>
    <pivotField dataField="1" numFmtId="166" showAll="0"/>
    <pivotField showAll="0">
      <items count="17">
        <item x="0"/>
        <item x="1"/>
        <item x="2"/>
        <item x="3"/>
        <item x="4"/>
        <item x="5"/>
        <item x="6"/>
        <item x="7"/>
        <item x="8"/>
        <item x="9"/>
        <item x="10"/>
        <item x="11"/>
        <item x="12"/>
        <item x="13"/>
        <item x="14"/>
        <item x="15"/>
        <item t="default"/>
      </items>
    </pivotField>
    <pivotField showAll="0">
      <items count="13">
        <item x="0"/>
        <item x="1"/>
        <item x="2"/>
        <item x="3"/>
        <item x="4"/>
        <item x="5"/>
        <item x="6"/>
        <item x="7"/>
        <item x="8"/>
        <item x="9"/>
        <item x="10"/>
        <item x="11"/>
        <item t="default"/>
      </items>
    </pivotField>
    <pivotField showAll="0">
      <items count="15">
        <item x="3"/>
        <item x="1"/>
        <item x="9"/>
        <item x="0"/>
        <item x="7"/>
        <item x="6"/>
        <item x="11"/>
        <item x="4"/>
        <item x="8"/>
        <item x="10"/>
        <item x="5"/>
        <item x="2"/>
        <item x="13"/>
        <item x="12"/>
        <item t="default"/>
      </items>
    </pivotField>
    <pivotField axis="axisRow" showAll="0">
      <items count="5">
        <item x="1"/>
        <item x="0"/>
        <item x="3"/>
        <item x="2"/>
        <item t="default"/>
      </items>
    </pivotField>
  </pivotFields>
  <rowFields count="1">
    <field x="13"/>
  </rowFields>
  <rowItems count="5">
    <i>
      <x/>
    </i>
    <i>
      <x v="1"/>
    </i>
    <i>
      <x v="2"/>
    </i>
    <i>
      <x v="3"/>
    </i>
    <i t="grand">
      <x/>
    </i>
  </rowItems>
  <colItems count="1">
    <i/>
  </colItems>
  <dataFields count="1">
    <dataField name="Average of Annual_Salary" fld="9" subtotal="average" baseField="13" baseItem="0" numFmtId="166"/>
  </dataFields>
  <formats count="1">
    <format dxfId="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2:B49" firstHeaderRow="1" firstDataRow="1" firstDataCol="1"/>
  <pivotFields count="14">
    <pivotField showAll="0"/>
    <pivotField showAll="0"/>
    <pivotField numFmtId="164" showAll="0"/>
    <pivotField showAll="0"/>
    <pivotField numFmtId="14" showAll="0"/>
    <pivotField showAll="0"/>
    <pivotField showAll="0"/>
    <pivotField numFmtId="165" showAll="0"/>
    <pivotField showAll="0"/>
    <pivotField dataField="1" numFmtId="166" showAll="0"/>
    <pivotField axis="axisRow" showAll="0">
      <items count="17">
        <item x="0"/>
        <item x="1"/>
        <item x="2"/>
        <item x="3"/>
        <item x="4"/>
        <item x="5"/>
        <item x="6"/>
        <item x="7"/>
        <item x="8"/>
        <item x="9"/>
        <item x="10"/>
        <item x="11"/>
        <item x="12"/>
        <item x="13"/>
        <item x="14"/>
        <item x="15"/>
        <item t="default"/>
      </items>
    </pivotField>
    <pivotField showAll="0">
      <items count="13">
        <item x="0"/>
        <item x="1"/>
        <item x="2"/>
        <item x="3"/>
        <item x="4"/>
        <item x="5"/>
        <item x="6"/>
        <item x="7"/>
        <item x="8"/>
        <item x="9"/>
        <item x="10"/>
        <item x="11"/>
        <item t="default"/>
      </items>
    </pivotField>
    <pivotField showAll="0">
      <items count="15">
        <item x="3"/>
        <item x="1"/>
        <item x="9"/>
        <item x="0"/>
        <item x="7"/>
        <item x="6"/>
        <item x="11"/>
        <item x="4"/>
        <item x="8"/>
        <item x="10"/>
        <item x="5"/>
        <item x="2"/>
        <item x="13"/>
        <item x="12"/>
        <item t="default"/>
      </items>
    </pivotField>
    <pivotField showAll="0">
      <items count="5">
        <item x="1"/>
        <item x="0"/>
        <item x="3"/>
        <item x="2"/>
        <item t="default"/>
      </items>
    </pivotField>
  </pivotFields>
  <rowFields count="1">
    <field x="10"/>
  </rowFields>
  <rowItems count="17">
    <i>
      <x/>
    </i>
    <i>
      <x v="1"/>
    </i>
    <i>
      <x v="2"/>
    </i>
    <i>
      <x v="3"/>
    </i>
    <i>
      <x v="4"/>
    </i>
    <i>
      <x v="5"/>
    </i>
    <i>
      <x v="6"/>
    </i>
    <i>
      <x v="7"/>
    </i>
    <i>
      <x v="8"/>
    </i>
    <i>
      <x v="9"/>
    </i>
    <i>
      <x v="10"/>
    </i>
    <i>
      <x v="11"/>
    </i>
    <i>
      <x v="12"/>
    </i>
    <i>
      <x v="13"/>
    </i>
    <i>
      <x v="14"/>
    </i>
    <i>
      <x v="15"/>
    </i>
    <i t="grand">
      <x/>
    </i>
  </rowItems>
  <colItems count="1">
    <i/>
  </colItems>
  <dataFields count="1">
    <dataField name="Average of Annual_Salary" fld="9" subtotal="average" baseField="11" baseItem="0"/>
  </dataFields>
  <formats count="1">
    <format dxfId="2">
      <pivotArea outline="0" collapsedLevelsAreSubtotals="1" fieldPosition="0"/>
    </format>
  </formats>
  <chartFormats count="34">
    <chartFormat chart="10" format="0" series="1">
      <pivotArea type="data" outline="0" fieldPosition="0">
        <references count="1">
          <reference field="4294967294" count="1" selected="0">
            <x v="0"/>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10" count="1" selected="0">
            <x v="0"/>
          </reference>
        </references>
      </pivotArea>
    </chartFormat>
    <chartFormat chart="12" format="20">
      <pivotArea type="data" outline="0" fieldPosition="0">
        <references count="2">
          <reference field="4294967294" count="1" selected="0">
            <x v="0"/>
          </reference>
          <reference field="10" count="1" selected="0">
            <x v="1"/>
          </reference>
        </references>
      </pivotArea>
    </chartFormat>
    <chartFormat chart="12" format="21">
      <pivotArea type="data" outline="0" fieldPosition="0">
        <references count="2">
          <reference field="4294967294" count="1" selected="0">
            <x v="0"/>
          </reference>
          <reference field="10" count="1" selected="0">
            <x v="2"/>
          </reference>
        </references>
      </pivotArea>
    </chartFormat>
    <chartFormat chart="12" format="22">
      <pivotArea type="data" outline="0" fieldPosition="0">
        <references count="2">
          <reference field="4294967294" count="1" selected="0">
            <x v="0"/>
          </reference>
          <reference field="10" count="1" selected="0">
            <x v="3"/>
          </reference>
        </references>
      </pivotArea>
    </chartFormat>
    <chartFormat chart="12" format="23">
      <pivotArea type="data" outline="0" fieldPosition="0">
        <references count="2">
          <reference field="4294967294" count="1" selected="0">
            <x v="0"/>
          </reference>
          <reference field="10" count="1" selected="0">
            <x v="4"/>
          </reference>
        </references>
      </pivotArea>
    </chartFormat>
    <chartFormat chart="12" format="24">
      <pivotArea type="data" outline="0" fieldPosition="0">
        <references count="2">
          <reference field="4294967294" count="1" selected="0">
            <x v="0"/>
          </reference>
          <reference field="10" count="1" selected="0">
            <x v="5"/>
          </reference>
        </references>
      </pivotArea>
    </chartFormat>
    <chartFormat chart="12" format="25">
      <pivotArea type="data" outline="0" fieldPosition="0">
        <references count="2">
          <reference field="4294967294" count="1" selected="0">
            <x v="0"/>
          </reference>
          <reference field="10" count="1" selected="0">
            <x v="6"/>
          </reference>
        </references>
      </pivotArea>
    </chartFormat>
    <chartFormat chart="12" format="26">
      <pivotArea type="data" outline="0" fieldPosition="0">
        <references count="2">
          <reference field="4294967294" count="1" selected="0">
            <x v="0"/>
          </reference>
          <reference field="10" count="1" selected="0">
            <x v="7"/>
          </reference>
        </references>
      </pivotArea>
    </chartFormat>
    <chartFormat chart="12" format="27">
      <pivotArea type="data" outline="0" fieldPosition="0">
        <references count="2">
          <reference field="4294967294" count="1" selected="0">
            <x v="0"/>
          </reference>
          <reference field="10" count="1" selected="0">
            <x v="8"/>
          </reference>
        </references>
      </pivotArea>
    </chartFormat>
    <chartFormat chart="12" format="28">
      <pivotArea type="data" outline="0" fieldPosition="0">
        <references count="2">
          <reference field="4294967294" count="1" selected="0">
            <x v="0"/>
          </reference>
          <reference field="10" count="1" selected="0">
            <x v="9"/>
          </reference>
        </references>
      </pivotArea>
    </chartFormat>
    <chartFormat chart="12" format="29">
      <pivotArea type="data" outline="0" fieldPosition="0">
        <references count="2">
          <reference field="4294967294" count="1" selected="0">
            <x v="0"/>
          </reference>
          <reference field="10" count="1" selected="0">
            <x v="10"/>
          </reference>
        </references>
      </pivotArea>
    </chartFormat>
    <chartFormat chart="12" format="30">
      <pivotArea type="data" outline="0" fieldPosition="0">
        <references count="2">
          <reference field="4294967294" count="1" selected="0">
            <x v="0"/>
          </reference>
          <reference field="10" count="1" selected="0">
            <x v="11"/>
          </reference>
        </references>
      </pivotArea>
    </chartFormat>
    <chartFormat chart="12" format="31">
      <pivotArea type="data" outline="0" fieldPosition="0">
        <references count="2">
          <reference field="4294967294" count="1" selected="0">
            <x v="0"/>
          </reference>
          <reference field="10" count="1" selected="0">
            <x v="12"/>
          </reference>
        </references>
      </pivotArea>
    </chartFormat>
    <chartFormat chart="12" format="32">
      <pivotArea type="data" outline="0" fieldPosition="0">
        <references count="2">
          <reference field="4294967294" count="1" selected="0">
            <x v="0"/>
          </reference>
          <reference field="10" count="1" selected="0">
            <x v="13"/>
          </reference>
        </references>
      </pivotArea>
    </chartFormat>
    <chartFormat chart="12" format="33">
      <pivotArea type="data" outline="0" fieldPosition="0">
        <references count="2">
          <reference field="4294967294" count="1" selected="0">
            <x v="0"/>
          </reference>
          <reference field="10" count="1" selected="0">
            <x v="14"/>
          </reference>
        </references>
      </pivotArea>
    </chartFormat>
    <chartFormat chart="12" format="34">
      <pivotArea type="data" outline="0" fieldPosition="0">
        <references count="2">
          <reference field="4294967294" count="1" selected="0">
            <x v="0"/>
          </reference>
          <reference field="10" count="1" selected="0">
            <x v="15"/>
          </reference>
        </references>
      </pivotArea>
    </chartFormat>
    <chartFormat chart="10" format="1">
      <pivotArea type="data" outline="0" fieldPosition="0">
        <references count="2">
          <reference field="4294967294" count="1" selected="0">
            <x v="0"/>
          </reference>
          <reference field="10" count="1" selected="0">
            <x v="0"/>
          </reference>
        </references>
      </pivotArea>
    </chartFormat>
    <chartFormat chart="10" format="2">
      <pivotArea type="data" outline="0" fieldPosition="0">
        <references count="2">
          <reference field="4294967294" count="1" selected="0">
            <x v="0"/>
          </reference>
          <reference field="10" count="1" selected="0">
            <x v="1"/>
          </reference>
        </references>
      </pivotArea>
    </chartFormat>
    <chartFormat chart="10" format="3">
      <pivotArea type="data" outline="0" fieldPosition="0">
        <references count="2">
          <reference field="4294967294" count="1" selected="0">
            <x v="0"/>
          </reference>
          <reference field="10" count="1" selected="0">
            <x v="2"/>
          </reference>
        </references>
      </pivotArea>
    </chartFormat>
    <chartFormat chart="10" format="4">
      <pivotArea type="data" outline="0" fieldPosition="0">
        <references count="2">
          <reference field="4294967294" count="1" selected="0">
            <x v="0"/>
          </reference>
          <reference field="10" count="1" selected="0">
            <x v="3"/>
          </reference>
        </references>
      </pivotArea>
    </chartFormat>
    <chartFormat chart="10" format="5">
      <pivotArea type="data" outline="0" fieldPosition="0">
        <references count="2">
          <reference field="4294967294" count="1" selected="0">
            <x v="0"/>
          </reference>
          <reference field="10" count="1" selected="0">
            <x v="4"/>
          </reference>
        </references>
      </pivotArea>
    </chartFormat>
    <chartFormat chart="10" format="6">
      <pivotArea type="data" outline="0" fieldPosition="0">
        <references count="2">
          <reference field="4294967294" count="1" selected="0">
            <x v="0"/>
          </reference>
          <reference field="10" count="1" selected="0">
            <x v="5"/>
          </reference>
        </references>
      </pivotArea>
    </chartFormat>
    <chartFormat chart="10" format="7">
      <pivotArea type="data" outline="0" fieldPosition="0">
        <references count="2">
          <reference field="4294967294" count="1" selected="0">
            <x v="0"/>
          </reference>
          <reference field="10" count="1" selected="0">
            <x v="6"/>
          </reference>
        </references>
      </pivotArea>
    </chartFormat>
    <chartFormat chart="10" format="8">
      <pivotArea type="data" outline="0" fieldPosition="0">
        <references count="2">
          <reference field="4294967294" count="1" selected="0">
            <x v="0"/>
          </reference>
          <reference field="10" count="1" selected="0">
            <x v="7"/>
          </reference>
        </references>
      </pivotArea>
    </chartFormat>
    <chartFormat chart="10" format="9">
      <pivotArea type="data" outline="0" fieldPosition="0">
        <references count="2">
          <reference field="4294967294" count="1" selected="0">
            <x v="0"/>
          </reference>
          <reference field="10" count="1" selected="0">
            <x v="8"/>
          </reference>
        </references>
      </pivotArea>
    </chartFormat>
    <chartFormat chart="10" format="10">
      <pivotArea type="data" outline="0" fieldPosition="0">
        <references count="2">
          <reference field="4294967294" count="1" selected="0">
            <x v="0"/>
          </reference>
          <reference field="10" count="1" selected="0">
            <x v="9"/>
          </reference>
        </references>
      </pivotArea>
    </chartFormat>
    <chartFormat chart="10" format="11">
      <pivotArea type="data" outline="0" fieldPosition="0">
        <references count="2">
          <reference field="4294967294" count="1" selected="0">
            <x v="0"/>
          </reference>
          <reference field="10" count="1" selected="0">
            <x v="10"/>
          </reference>
        </references>
      </pivotArea>
    </chartFormat>
    <chartFormat chart="10" format="12">
      <pivotArea type="data" outline="0" fieldPosition="0">
        <references count="2">
          <reference field="4294967294" count="1" selected="0">
            <x v="0"/>
          </reference>
          <reference field="10" count="1" selected="0">
            <x v="11"/>
          </reference>
        </references>
      </pivotArea>
    </chartFormat>
    <chartFormat chart="10" format="13">
      <pivotArea type="data" outline="0" fieldPosition="0">
        <references count="2">
          <reference field="4294967294" count="1" selected="0">
            <x v="0"/>
          </reference>
          <reference field="10" count="1" selected="0">
            <x v="12"/>
          </reference>
        </references>
      </pivotArea>
    </chartFormat>
    <chartFormat chart="10" format="14">
      <pivotArea type="data" outline="0" fieldPosition="0">
        <references count="2">
          <reference field="4294967294" count="1" selected="0">
            <x v="0"/>
          </reference>
          <reference field="10" count="1" selected="0">
            <x v="13"/>
          </reference>
        </references>
      </pivotArea>
    </chartFormat>
    <chartFormat chart="10" format="15">
      <pivotArea type="data" outline="0" fieldPosition="0">
        <references count="2">
          <reference field="4294967294" count="1" selected="0">
            <x v="0"/>
          </reference>
          <reference field="10" count="1" selected="0">
            <x v="14"/>
          </reference>
        </references>
      </pivotArea>
    </chartFormat>
    <chartFormat chart="10" format="16">
      <pivotArea type="data" outline="0" fieldPosition="0">
        <references count="2">
          <reference field="4294967294" count="1" selected="0">
            <x v="0"/>
          </reference>
          <reference field="10" count="1" selected="0">
            <x v="1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3"/>
    <pivotTable tabId="2" name="PivotTable1"/>
    <pivotTable tabId="2" name="PivotTable2"/>
  </pivotTables>
  <data>
    <tabular pivotCacheId="1">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3"/>
    <pivotTable tabId="2" name="PivotTable1"/>
    <pivotTable tabId="2" name="PivotTable2"/>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perience_level" sourceName="Experience level">
  <pivotTables>
    <pivotTable tabId="2" name="PivotTable3"/>
    <pivotTable tabId="2" name="PivotTable1"/>
    <pivotTable tabId="2" name="PivotTable2"/>
  </pivotTables>
  <data>
    <tabular pivotCacheId="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Department" cache="Slicer_Department" caption="Department" rowHeight="241300"/>
  <slicer name="Experience level" cache="Slicer_Experience_level" caption="Experience lev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9"/>
  <sheetViews>
    <sheetView topLeftCell="A23" workbookViewId="0">
      <selection activeCell="A33" sqref="A33"/>
    </sheetView>
  </sheetViews>
  <sheetFormatPr defaultRowHeight="15" x14ac:dyDescent="0.25"/>
  <cols>
    <col min="1" max="1" width="13.140625" customWidth="1"/>
    <col min="2" max="2" width="24" customWidth="1"/>
  </cols>
  <sheetData>
    <row r="3" spans="1:2" x14ac:dyDescent="0.25">
      <c r="A3" s="12" t="s">
        <v>156</v>
      </c>
      <c r="B3" t="s">
        <v>162</v>
      </c>
    </row>
    <row r="4" spans="1:2" x14ac:dyDescent="0.25">
      <c r="A4" s="13" t="s">
        <v>158</v>
      </c>
      <c r="B4" s="3">
        <v>1205699.5</v>
      </c>
    </row>
    <row r="5" spans="1:2" x14ac:dyDescent="0.25">
      <c r="A5" s="13" t="s">
        <v>159</v>
      </c>
      <c r="B5" s="3">
        <v>1289052</v>
      </c>
    </row>
    <row r="6" spans="1:2" x14ac:dyDescent="0.25">
      <c r="A6" s="13" t="s">
        <v>160</v>
      </c>
      <c r="B6" s="3">
        <v>1208656.8421052631</v>
      </c>
    </row>
    <row r="7" spans="1:2" x14ac:dyDescent="0.25">
      <c r="A7" s="13" t="s">
        <v>161</v>
      </c>
      <c r="B7" s="3">
        <v>1219111.642857143</v>
      </c>
    </row>
    <row r="8" spans="1:2" x14ac:dyDescent="0.25">
      <c r="A8" s="13" t="s">
        <v>157</v>
      </c>
      <c r="B8" s="3">
        <v>1226410.5833333333</v>
      </c>
    </row>
    <row r="16" spans="1:2" x14ac:dyDescent="0.25">
      <c r="A16" s="12" t="s">
        <v>156</v>
      </c>
      <c r="B16" t="s">
        <v>162</v>
      </c>
    </row>
    <row r="17" spans="1:2" x14ac:dyDescent="0.25">
      <c r="A17" s="13" t="s">
        <v>144</v>
      </c>
      <c r="B17" s="3">
        <v>1376682</v>
      </c>
    </row>
    <row r="18" spans="1:2" x14ac:dyDescent="0.25">
      <c r="A18" s="13" t="s">
        <v>145</v>
      </c>
      <c r="B18" s="3">
        <v>969260.5</v>
      </c>
    </row>
    <row r="19" spans="1:2" x14ac:dyDescent="0.25">
      <c r="A19" s="13" t="s">
        <v>146</v>
      </c>
      <c r="B19" s="3">
        <v>1148783.75</v>
      </c>
    </row>
    <row r="20" spans="1:2" x14ac:dyDescent="0.25">
      <c r="A20" s="13" t="s">
        <v>147</v>
      </c>
      <c r="B20" s="3">
        <v>1035027.75</v>
      </c>
    </row>
    <row r="21" spans="1:2" x14ac:dyDescent="0.25">
      <c r="A21" s="13" t="s">
        <v>148</v>
      </c>
      <c r="B21" s="3">
        <v>1210836.25</v>
      </c>
    </row>
    <row r="22" spans="1:2" x14ac:dyDescent="0.25">
      <c r="A22" s="13" t="s">
        <v>149</v>
      </c>
      <c r="B22" s="3">
        <v>1408530.5</v>
      </c>
    </row>
    <row r="23" spans="1:2" x14ac:dyDescent="0.25">
      <c r="A23" s="13" t="s">
        <v>150</v>
      </c>
      <c r="B23" s="3">
        <v>1309097.75</v>
      </c>
    </row>
    <row r="24" spans="1:2" x14ac:dyDescent="0.25">
      <c r="A24" s="13" t="s">
        <v>151</v>
      </c>
      <c r="B24" s="3">
        <v>1275643.25</v>
      </c>
    </row>
    <row r="25" spans="1:2" x14ac:dyDescent="0.25">
      <c r="A25" s="13" t="s">
        <v>152</v>
      </c>
      <c r="B25" s="3">
        <v>1291784.5</v>
      </c>
    </row>
    <row r="26" spans="1:2" x14ac:dyDescent="0.25">
      <c r="A26" s="13" t="s">
        <v>153</v>
      </c>
      <c r="B26" s="3">
        <v>1139979.5</v>
      </c>
    </row>
    <row r="27" spans="1:2" x14ac:dyDescent="0.25">
      <c r="A27" s="13" t="s">
        <v>154</v>
      </c>
      <c r="B27" s="3">
        <v>1177801</v>
      </c>
    </row>
    <row r="28" spans="1:2" x14ac:dyDescent="0.25">
      <c r="A28" s="13" t="s">
        <v>155</v>
      </c>
      <c r="B28" s="3">
        <v>1373500.25</v>
      </c>
    </row>
    <row r="29" spans="1:2" x14ac:dyDescent="0.25">
      <c r="A29" s="13" t="s">
        <v>157</v>
      </c>
      <c r="B29" s="3">
        <v>1226410.5833333333</v>
      </c>
    </row>
    <row r="32" spans="1:2" x14ac:dyDescent="0.25">
      <c r="A32" s="12" t="s">
        <v>156</v>
      </c>
      <c r="B32" t="s">
        <v>162</v>
      </c>
    </row>
    <row r="33" spans="1:2" x14ac:dyDescent="0.25">
      <c r="A33" s="13" t="s">
        <v>128</v>
      </c>
      <c r="B33" s="3">
        <v>1352201.6666666667</v>
      </c>
    </row>
    <row r="34" spans="1:2" x14ac:dyDescent="0.25">
      <c r="A34" s="13" t="s">
        <v>129</v>
      </c>
      <c r="B34" s="3">
        <v>1286463.3333333333</v>
      </c>
    </row>
    <row r="35" spans="1:2" x14ac:dyDescent="0.25">
      <c r="A35" s="13" t="s">
        <v>130</v>
      </c>
      <c r="B35" s="3">
        <v>1096863</v>
      </c>
    </row>
    <row r="36" spans="1:2" x14ac:dyDescent="0.25">
      <c r="A36" s="13" t="s">
        <v>131</v>
      </c>
      <c r="B36" s="3">
        <v>1290405</v>
      </c>
    </row>
    <row r="37" spans="1:2" x14ac:dyDescent="0.25">
      <c r="A37" s="13" t="s">
        <v>132</v>
      </c>
      <c r="B37" s="3">
        <v>1277750.3333333333</v>
      </c>
    </row>
    <row r="38" spans="1:2" x14ac:dyDescent="0.25">
      <c r="A38" s="13" t="s">
        <v>133</v>
      </c>
      <c r="B38" s="3">
        <v>993060.66666666663</v>
      </c>
    </row>
    <row r="39" spans="1:2" x14ac:dyDescent="0.25">
      <c r="A39" s="13" t="s">
        <v>134</v>
      </c>
      <c r="B39" s="3">
        <v>1473479</v>
      </c>
    </row>
    <row r="40" spans="1:2" x14ac:dyDescent="0.25">
      <c r="A40" s="13" t="s">
        <v>135</v>
      </c>
      <c r="B40" s="3">
        <v>1268922.6666666667</v>
      </c>
    </row>
    <row r="41" spans="1:2" x14ac:dyDescent="0.25">
      <c r="A41" s="13" t="s">
        <v>136</v>
      </c>
      <c r="B41" s="3">
        <v>1329872.3333333333</v>
      </c>
    </row>
    <row r="42" spans="1:2" x14ac:dyDescent="0.25">
      <c r="A42" s="13" t="s">
        <v>137</v>
      </c>
      <c r="B42" s="3">
        <v>1349527</v>
      </c>
    </row>
    <row r="43" spans="1:2" x14ac:dyDescent="0.25">
      <c r="A43" s="13" t="s">
        <v>138</v>
      </c>
      <c r="B43" s="3">
        <v>1219706</v>
      </c>
    </row>
    <row r="44" spans="1:2" x14ac:dyDescent="0.25">
      <c r="A44" s="13" t="s">
        <v>139</v>
      </c>
      <c r="B44" s="3">
        <v>1131824.3333333333</v>
      </c>
    </row>
    <row r="45" spans="1:2" x14ac:dyDescent="0.25">
      <c r="A45" s="13" t="s">
        <v>140</v>
      </c>
      <c r="B45" s="3">
        <v>1212579.3333333333</v>
      </c>
    </row>
    <row r="46" spans="1:2" x14ac:dyDescent="0.25">
      <c r="A46" s="13" t="s">
        <v>141</v>
      </c>
      <c r="B46" s="3">
        <v>1061309.6666666667</v>
      </c>
    </row>
    <row r="47" spans="1:2" x14ac:dyDescent="0.25">
      <c r="A47" s="13" t="s">
        <v>142</v>
      </c>
      <c r="B47" s="3">
        <v>1057528.6666666667</v>
      </c>
    </row>
    <row r="48" spans="1:2" x14ac:dyDescent="0.25">
      <c r="A48" s="13" t="s">
        <v>143</v>
      </c>
      <c r="B48" s="3">
        <v>1221076.3333333333</v>
      </c>
    </row>
    <row r="49" spans="1:2" x14ac:dyDescent="0.25">
      <c r="A49" s="13" t="s">
        <v>157</v>
      </c>
      <c r="B49" s="3">
        <v>1226410.5833333333</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V34"/>
  <sheetViews>
    <sheetView tabSelected="1" zoomScale="69" zoomScaleNormal="69" workbookViewId="0">
      <selection activeCell="P31" sqref="P31"/>
    </sheetView>
  </sheetViews>
  <sheetFormatPr defaultRowHeight="15" x14ac:dyDescent="0.25"/>
  <cols>
    <col min="1" max="16384" width="9.140625" style="14"/>
  </cols>
  <sheetData>
    <row r="34" spans="22:22" x14ac:dyDescent="0.25">
      <c r="V34" s="14" t="s">
        <v>163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Views>
    <sheetView zoomScale="90" zoomScaleNormal="90" workbookViewId="0">
      <selection activeCell="P13" sqref="P13"/>
    </sheetView>
  </sheetViews>
  <sheetFormatPr defaultRowHeight="15" x14ac:dyDescent="0.25"/>
  <cols>
    <col min="1" max="1" width="7.7109375" bestFit="1" customWidth="1"/>
    <col min="2" max="2" width="14.140625" bestFit="1" customWidth="1"/>
    <col min="3" max="3" width="14.28515625" bestFit="1" customWidth="1"/>
    <col min="4" max="4" width="7.7109375" bestFit="1" customWidth="1"/>
    <col min="5" max="5" width="12.140625" bestFit="1" customWidth="1"/>
    <col min="6" max="6" width="6.7109375" bestFit="1" customWidth="1"/>
    <col min="7" max="7" width="29.140625" bestFit="1" customWidth="1"/>
    <col min="8" max="8" width="11.85546875" bestFit="1" customWidth="1"/>
    <col min="9" max="9" width="6.42578125" bestFit="1" customWidth="1"/>
    <col min="10" max="10" width="14.140625" bestFit="1" customWidth="1"/>
    <col min="11" max="11" width="11.7109375" bestFit="1" customWidth="1"/>
    <col min="12" max="12" width="12.5703125" bestFit="1" customWidth="1"/>
    <col min="13" max="13" width="7.28515625" style="4" bestFit="1" customWidth="1"/>
    <col min="14" max="14" width="15.85546875" bestFit="1" customWidth="1"/>
  </cols>
  <sheetData>
    <row r="1" spans="1:14" x14ac:dyDescent="0.25">
      <c r="A1" s="1" t="s">
        <v>0</v>
      </c>
      <c r="B1" s="1" t="s">
        <v>1</v>
      </c>
      <c r="C1" s="2" t="s">
        <v>2</v>
      </c>
      <c r="D1" s="1" t="s">
        <v>3</v>
      </c>
      <c r="E1" s="2" t="s">
        <v>4</v>
      </c>
      <c r="F1" s="2" t="s">
        <v>5</v>
      </c>
      <c r="G1" s="1" t="s">
        <v>6</v>
      </c>
      <c r="H1" s="2" t="s">
        <v>7</v>
      </c>
      <c r="I1" s="2" t="s">
        <v>8</v>
      </c>
      <c r="J1" s="2" t="s">
        <v>9</v>
      </c>
      <c r="K1" s="2" t="s">
        <v>10</v>
      </c>
      <c r="L1" s="2" t="s">
        <v>11</v>
      </c>
      <c r="M1" s="2" t="s">
        <v>12</v>
      </c>
      <c r="N1" s="2" t="s">
        <v>13</v>
      </c>
    </row>
    <row r="2" spans="1:14" x14ac:dyDescent="0.25">
      <c r="A2" s="5" t="s">
        <v>14</v>
      </c>
      <c r="B2" s="5" t="s">
        <v>58</v>
      </c>
      <c r="C2" s="6">
        <v>44668</v>
      </c>
      <c r="D2" s="5" t="s">
        <v>78</v>
      </c>
      <c r="E2" s="7">
        <v>31662</v>
      </c>
      <c r="F2" s="8">
        <f ca="1">DATEDIF(E2,TODAY(),"Y")</f>
        <v>39</v>
      </c>
      <c r="G2" s="5" t="s">
        <v>80</v>
      </c>
      <c r="H2" s="9">
        <v>128057</v>
      </c>
      <c r="I2" s="5">
        <v>0.38624335546581379</v>
      </c>
      <c r="J2" s="10">
        <v>1586146</v>
      </c>
      <c r="K2" s="5" t="s">
        <v>128</v>
      </c>
      <c r="L2" s="11" t="s">
        <v>144</v>
      </c>
      <c r="M2" s="11">
        <f ca="1">DATEDIF(C2,TODAY(),"Y")</f>
        <v>4</v>
      </c>
      <c r="N2" s="11" t="str">
        <f ca="1">IF(M2&lt;=2,"Fresher",IF(AND(M2&gt;2,M2&lt;=5),"Junior",IF(AND(M2&gt;5,M2&lt;=10),"Mid",IF(M2&gt;10,"Senior"))))</f>
        <v>Junior</v>
      </c>
    </row>
    <row r="3" spans="1:14" x14ac:dyDescent="0.25">
      <c r="A3" s="5" t="s">
        <v>15</v>
      </c>
      <c r="B3" s="5" t="s">
        <v>59</v>
      </c>
      <c r="C3" s="6">
        <v>45272</v>
      </c>
      <c r="D3" s="5" t="s">
        <v>78</v>
      </c>
      <c r="E3" s="7">
        <v>32331</v>
      </c>
      <c r="F3" s="8">
        <f t="shared" ref="F3:F49" ca="1" si="0">DATEDIF(E3,TODAY(),"Y")</f>
        <v>38</v>
      </c>
      <c r="G3" s="5" t="s">
        <v>81</v>
      </c>
      <c r="H3" s="9">
        <v>92193</v>
      </c>
      <c r="I3" s="5">
        <v>0.35737360967500864</v>
      </c>
      <c r="J3" s="10">
        <v>1139264</v>
      </c>
      <c r="K3" s="5" t="s">
        <v>129</v>
      </c>
      <c r="L3" s="11" t="s">
        <v>145</v>
      </c>
      <c r="M3" s="11">
        <f t="shared" ref="M3:M49" ca="1" si="1">DATEDIF(C3,TODAY(),"Y")</f>
        <v>2</v>
      </c>
      <c r="N3" s="11" t="str">
        <f t="shared" ref="N3:N49" ca="1" si="2">IF(M3&lt;=2,"Fresher",IF(AND(M3&gt;2,M3&lt;=5),"Junior",IF(AND(M3&gt;5,M3&lt;=10),"Mid",IF(M3&gt;10,"Senior"))))</f>
        <v>Fresher</v>
      </c>
    </row>
    <row r="4" spans="1:14" x14ac:dyDescent="0.25">
      <c r="A4" s="5" t="s">
        <v>16</v>
      </c>
      <c r="B4" s="5" t="s">
        <v>60</v>
      </c>
      <c r="C4" s="6">
        <v>41552</v>
      </c>
      <c r="D4" s="5" t="s">
        <v>78</v>
      </c>
      <c r="E4" s="7">
        <v>32191</v>
      </c>
      <c r="F4" s="8">
        <f t="shared" ca="1" si="0"/>
        <v>38</v>
      </c>
      <c r="G4" s="5" t="s">
        <v>82</v>
      </c>
      <c r="H4" s="9">
        <v>73175</v>
      </c>
      <c r="I4" s="5">
        <v>0.97148014213660727</v>
      </c>
      <c r="J4" s="10">
        <v>949189</v>
      </c>
      <c r="K4" s="5" t="s">
        <v>130</v>
      </c>
      <c r="L4" s="11" t="s">
        <v>146</v>
      </c>
      <c r="M4" s="11">
        <f t="shared" ca="1" si="1"/>
        <v>12</v>
      </c>
      <c r="N4" s="11" t="str">
        <f t="shared" ca="1" si="2"/>
        <v>Senior</v>
      </c>
    </row>
    <row r="5" spans="1:14" x14ac:dyDescent="0.25">
      <c r="A5" s="5" t="s">
        <v>17</v>
      </c>
      <c r="B5" s="5" t="s">
        <v>61</v>
      </c>
      <c r="C5" s="6">
        <v>45491</v>
      </c>
      <c r="D5" s="5" t="s">
        <v>78</v>
      </c>
      <c r="E5" s="7">
        <v>33001</v>
      </c>
      <c r="F5" s="8">
        <f t="shared" ca="1" si="0"/>
        <v>36</v>
      </c>
      <c r="G5" s="5" t="s">
        <v>83</v>
      </c>
      <c r="H5" s="9">
        <v>81411</v>
      </c>
      <c r="I5" s="5">
        <v>8.3960156852701306E-2</v>
      </c>
      <c r="J5" s="10">
        <v>983768</v>
      </c>
      <c r="K5" s="5" t="s">
        <v>131</v>
      </c>
      <c r="L5" s="11" t="s">
        <v>147</v>
      </c>
      <c r="M5" s="11">
        <f t="shared" ca="1" si="1"/>
        <v>2</v>
      </c>
      <c r="N5" s="11" t="str">
        <f t="shared" ca="1" si="2"/>
        <v>Fresher</v>
      </c>
    </row>
    <row r="6" spans="1:14" x14ac:dyDescent="0.25">
      <c r="A6" s="5" t="s">
        <v>18</v>
      </c>
      <c r="B6" s="5" t="s">
        <v>62</v>
      </c>
      <c r="C6" s="6">
        <v>42914</v>
      </c>
      <c r="D6" s="5" t="s">
        <v>78</v>
      </c>
      <c r="E6" s="7">
        <v>31819</v>
      </c>
      <c r="F6" s="8">
        <f t="shared" ca="1" si="0"/>
        <v>39</v>
      </c>
      <c r="G6" s="5" t="s">
        <v>84</v>
      </c>
      <c r="H6" s="9">
        <v>73144</v>
      </c>
      <c r="I6" s="5">
        <v>0.49737687966391464</v>
      </c>
      <c r="J6" s="10">
        <v>914109</v>
      </c>
      <c r="K6" s="5" t="s">
        <v>132</v>
      </c>
      <c r="L6" s="11" t="s">
        <v>148</v>
      </c>
      <c r="M6" s="11">
        <f t="shared" ca="1" si="1"/>
        <v>9</v>
      </c>
      <c r="N6" s="11" t="str">
        <f t="shared" ca="1" si="2"/>
        <v>Mid</v>
      </c>
    </row>
    <row r="7" spans="1:14" x14ac:dyDescent="0.25">
      <c r="A7" s="5" t="s">
        <v>19</v>
      </c>
      <c r="B7" s="5" t="s">
        <v>63</v>
      </c>
      <c r="C7" s="6">
        <v>43023</v>
      </c>
      <c r="D7" s="5" t="s">
        <v>78</v>
      </c>
      <c r="E7" s="7">
        <v>32435</v>
      </c>
      <c r="F7" s="8">
        <f t="shared" ca="1" si="0"/>
        <v>37</v>
      </c>
      <c r="G7" s="5" t="s">
        <v>85</v>
      </c>
      <c r="H7" s="9">
        <v>89468</v>
      </c>
      <c r="I7" s="5">
        <v>0.75678151975030361</v>
      </c>
      <c r="J7" s="10">
        <v>1141324</v>
      </c>
      <c r="K7" s="5" t="s">
        <v>133</v>
      </c>
      <c r="L7" s="11" t="s">
        <v>149</v>
      </c>
      <c r="M7" s="11">
        <f t="shared" ca="1" si="1"/>
        <v>8</v>
      </c>
      <c r="N7" s="11" t="str">
        <f t="shared" ca="1" si="2"/>
        <v>Mid</v>
      </c>
    </row>
    <row r="8" spans="1:14" x14ac:dyDescent="0.25">
      <c r="A8" s="5" t="s">
        <v>20</v>
      </c>
      <c r="B8" s="5" t="s">
        <v>64</v>
      </c>
      <c r="C8" s="6">
        <v>44620</v>
      </c>
      <c r="D8" s="5" t="s">
        <v>78</v>
      </c>
      <c r="E8" s="7">
        <v>32836</v>
      </c>
      <c r="F8" s="8">
        <f t="shared" ca="1" si="0"/>
        <v>36</v>
      </c>
      <c r="G8" s="5" t="s">
        <v>86</v>
      </c>
      <c r="H8" s="9">
        <v>131195</v>
      </c>
      <c r="I8" s="5">
        <v>0.68260967450478949</v>
      </c>
      <c r="J8" s="10">
        <v>1663895</v>
      </c>
      <c r="K8" s="5" t="s">
        <v>134</v>
      </c>
      <c r="L8" s="11" t="s">
        <v>150</v>
      </c>
      <c r="M8" s="11">
        <f t="shared" ca="1" si="1"/>
        <v>4</v>
      </c>
      <c r="N8" s="11" t="str">
        <f t="shared" ca="1" si="2"/>
        <v>Junior</v>
      </c>
    </row>
    <row r="9" spans="1:14" x14ac:dyDescent="0.25">
      <c r="A9" s="5" t="s">
        <v>21</v>
      </c>
      <c r="B9" s="5" t="s">
        <v>65</v>
      </c>
      <c r="C9" s="6">
        <v>41875</v>
      </c>
      <c r="D9" s="5" t="s">
        <v>78</v>
      </c>
      <c r="E9" s="7">
        <v>31484</v>
      </c>
      <c r="F9" s="8">
        <f t="shared" ca="1" si="0"/>
        <v>40</v>
      </c>
      <c r="G9" s="5" t="s">
        <v>87</v>
      </c>
      <c r="H9" s="9">
        <v>99128</v>
      </c>
      <c r="I9" s="5">
        <v>0.33677297142020091</v>
      </c>
      <c r="J9" s="10">
        <v>1222920</v>
      </c>
      <c r="K9" s="5" t="s">
        <v>135</v>
      </c>
      <c r="L9" s="11" t="s">
        <v>151</v>
      </c>
      <c r="M9" s="11">
        <f t="shared" ca="1" si="1"/>
        <v>11</v>
      </c>
      <c r="N9" s="11" t="str">
        <f t="shared" ca="1" si="2"/>
        <v>Senior</v>
      </c>
    </row>
    <row r="10" spans="1:14" x14ac:dyDescent="0.25">
      <c r="A10" s="5" t="s">
        <v>22</v>
      </c>
      <c r="B10" s="5" t="s">
        <v>66</v>
      </c>
      <c r="C10" s="6">
        <v>41645</v>
      </c>
      <c r="D10" s="5" t="s">
        <v>78</v>
      </c>
      <c r="E10" s="7">
        <v>32848</v>
      </c>
      <c r="F10" s="8">
        <f t="shared" ca="1" si="0"/>
        <v>36</v>
      </c>
      <c r="G10" s="5" t="s">
        <v>88</v>
      </c>
      <c r="H10" s="9">
        <v>117707</v>
      </c>
      <c r="I10" s="5">
        <v>0.39843074547535007</v>
      </c>
      <c r="J10" s="10">
        <v>1459383</v>
      </c>
      <c r="K10" s="5" t="s">
        <v>136</v>
      </c>
      <c r="L10" s="11" t="s">
        <v>152</v>
      </c>
      <c r="M10" s="11">
        <f t="shared" ca="1" si="1"/>
        <v>12</v>
      </c>
      <c r="N10" s="11" t="str">
        <f t="shared" ca="1" si="2"/>
        <v>Senior</v>
      </c>
    </row>
    <row r="11" spans="1:14" x14ac:dyDescent="0.25">
      <c r="A11" s="5" t="s">
        <v>23</v>
      </c>
      <c r="B11" s="5" t="s">
        <v>67</v>
      </c>
      <c r="C11" s="6">
        <v>43801</v>
      </c>
      <c r="D11" s="5" t="s">
        <v>78</v>
      </c>
      <c r="E11" s="7">
        <v>32929</v>
      </c>
      <c r="F11" s="8">
        <f t="shared" ca="1" si="0"/>
        <v>36</v>
      </c>
      <c r="G11" s="5" t="s">
        <v>89</v>
      </c>
      <c r="H11" s="9">
        <v>121244</v>
      </c>
      <c r="I11" s="5">
        <v>0.68116382575482604</v>
      </c>
      <c r="J11" s="10">
        <v>1537516</v>
      </c>
      <c r="K11" s="5" t="s">
        <v>137</v>
      </c>
      <c r="L11" s="11" t="s">
        <v>153</v>
      </c>
      <c r="M11" s="11">
        <f t="shared" ca="1" si="1"/>
        <v>6</v>
      </c>
      <c r="N11" s="11" t="str">
        <f t="shared" ca="1" si="2"/>
        <v>Mid</v>
      </c>
    </row>
    <row r="12" spans="1:14" x14ac:dyDescent="0.25">
      <c r="A12" s="5" t="s">
        <v>24</v>
      </c>
      <c r="B12" s="5" t="s">
        <v>68</v>
      </c>
      <c r="C12" s="6">
        <v>41878</v>
      </c>
      <c r="D12" s="5" t="s">
        <v>78</v>
      </c>
      <c r="E12" s="7">
        <v>33058</v>
      </c>
      <c r="F12" s="8">
        <f t="shared" ca="1" si="0"/>
        <v>36</v>
      </c>
      <c r="G12" s="5" t="s">
        <v>90</v>
      </c>
      <c r="H12" s="9">
        <v>88697</v>
      </c>
      <c r="I12" s="5">
        <v>0.58018370105028105</v>
      </c>
      <c r="J12" s="10">
        <v>1115825</v>
      </c>
      <c r="K12" s="5" t="s">
        <v>138</v>
      </c>
      <c r="L12" s="11" t="s">
        <v>154</v>
      </c>
      <c r="M12" s="11">
        <f t="shared" ca="1" si="1"/>
        <v>11</v>
      </c>
      <c r="N12" s="11" t="str">
        <f t="shared" ca="1" si="2"/>
        <v>Senior</v>
      </c>
    </row>
    <row r="13" spans="1:14" x14ac:dyDescent="0.25">
      <c r="A13" s="5" t="s">
        <v>25</v>
      </c>
      <c r="B13" s="5" t="s">
        <v>69</v>
      </c>
      <c r="C13" s="6">
        <v>42106</v>
      </c>
      <c r="D13" s="5" t="s">
        <v>79</v>
      </c>
      <c r="E13" s="7">
        <v>33157</v>
      </c>
      <c r="F13" s="8">
        <f t="shared" ca="1" si="0"/>
        <v>35</v>
      </c>
      <c r="G13" s="5" t="s">
        <v>91</v>
      </c>
      <c r="H13" s="9">
        <v>102652</v>
      </c>
      <c r="I13" s="5">
        <v>0.56160232865886339</v>
      </c>
      <c r="J13" s="10">
        <v>1289474</v>
      </c>
      <c r="K13" s="5" t="s">
        <v>139</v>
      </c>
      <c r="L13" s="11" t="s">
        <v>155</v>
      </c>
      <c r="M13" s="11">
        <f t="shared" ca="1" si="1"/>
        <v>11</v>
      </c>
      <c r="N13" s="11" t="str">
        <f t="shared" ca="1" si="2"/>
        <v>Senior</v>
      </c>
    </row>
    <row r="14" spans="1:14" x14ac:dyDescent="0.25">
      <c r="A14" s="5" t="s">
        <v>26</v>
      </c>
      <c r="B14" s="5" t="s">
        <v>70</v>
      </c>
      <c r="C14" s="6">
        <v>44328</v>
      </c>
      <c r="D14" s="5" t="s">
        <v>79</v>
      </c>
      <c r="E14" s="7">
        <v>32178</v>
      </c>
      <c r="F14" s="8">
        <f t="shared" ca="1" si="0"/>
        <v>38</v>
      </c>
      <c r="G14" s="5" t="s">
        <v>92</v>
      </c>
      <c r="H14" s="9">
        <v>64155</v>
      </c>
      <c r="I14" s="5">
        <v>0.32400510414098105</v>
      </c>
      <c r="J14" s="10">
        <v>790647</v>
      </c>
      <c r="K14" s="5" t="s">
        <v>140</v>
      </c>
      <c r="L14" s="11" t="s">
        <v>144</v>
      </c>
      <c r="M14" s="11">
        <f t="shared" ca="1" si="1"/>
        <v>5</v>
      </c>
      <c r="N14" s="11" t="str">
        <f t="shared" ca="1" si="2"/>
        <v>Junior</v>
      </c>
    </row>
    <row r="15" spans="1:14" x14ac:dyDescent="0.25">
      <c r="A15" s="5" t="s">
        <v>27</v>
      </c>
      <c r="B15" s="5" t="s">
        <v>71</v>
      </c>
      <c r="C15" s="6">
        <v>42630</v>
      </c>
      <c r="D15" s="5" t="s">
        <v>79</v>
      </c>
      <c r="E15" s="7">
        <v>32838</v>
      </c>
      <c r="F15" s="8">
        <f t="shared" ca="1" si="0"/>
        <v>36</v>
      </c>
      <c r="G15" s="5" t="s">
        <v>93</v>
      </c>
      <c r="H15" s="9">
        <v>85230</v>
      </c>
      <c r="I15" s="5">
        <v>4.2308858487364653E-2</v>
      </c>
      <c r="J15" s="10">
        <v>1026366</v>
      </c>
      <c r="K15" s="5" t="s">
        <v>141</v>
      </c>
      <c r="L15" s="11" t="s">
        <v>145</v>
      </c>
      <c r="M15" s="11">
        <f t="shared" ca="1" si="1"/>
        <v>9</v>
      </c>
      <c r="N15" s="11" t="str">
        <f t="shared" ca="1" si="2"/>
        <v>Mid</v>
      </c>
    </row>
    <row r="16" spans="1:14" x14ac:dyDescent="0.25">
      <c r="A16" s="5" t="s">
        <v>28</v>
      </c>
      <c r="B16" s="5" t="s">
        <v>72</v>
      </c>
      <c r="C16" s="6">
        <v>43134</v>
      </c>
      <c r="D16" s="5" t="s">
        <v>79</v>
      </c>
      <c r="E16" s="7">
        <v>31604</v>
      </c>
      <c r="F16" s="8">
        <f t="shared" ca="1" si="0"/>
        <v>40</v>
      </c>
      <c r="G16" s="5" t="s">
        <v>94</v>
      </c>
      <c r="H16" s="9">
        <v>80240</v>
      </c>
      <c r="I16" s="5">
        <v>0.1612936297339308</v>
      </c>
      <c r="J16" s="10">
        <v>975823</v>
      </c>
      <c r="K16" s="5" t="s">
        <v>142</v>
      </c>
      <c r="L16" s="11" t="s">
        <v>146</v>
      </c>
      <c r="M16" s="11">
        <f t="shared" ca="1" si="1"/>
        <v>8</v>
      </c>
      <c r="N16" s="11" t="str">
        <f t="shared" ca="1" si="2"/>
        <v>Mid</v>
      </c>
    </row>
    <row r="17" spans="1:14" x14ac:dyDescent="0.25">
      <c r="A17" s="5" t="s">
        <v>29</v>
      </c>
      <c r="B17" s="5" t="s">
        <v>73</v>
      </c>
      <c r="C17" s="6">
        <v>42750</v>
      </c>
      <c r="D17" s="5" t="s">
        <v>78</v>
      </c>
      <c r="E17" s="7">
        <v>32182</v>
      </c>
      <c r="F17" s="8">
        <f t="shared" ca="1" si="0"/>
        <v>38</v>
      </c>
      <c r="G17" s="5" t="s">
        <v>95</v>
      </c>
      <c r="H17" s="9">
        <v>86416</v>
      </c>
      <c r="I17" s="5">
        <v>0.24046071396591306</v>
      </c>
      <c r="J17" s="10">
        <v>1057772</v>
      </c>
      <c r="K17" s="5" t="s">
        <v>143</v>
      </c>
      <c r="L17" s="11" t="s">
        <v>147</v>
      </c>
      <c r="M17" s="11">
        <f t="shared" ca="1" si="1"/>
        <v>9</v>
      </c>
      <c r="N17" s="11" t="str">
        <f t="shared" ca="1" si="2"/>
        <v>Mid</v>
      </c>
    </row>
    <row r="18" spans="1:14" x14ac:dyDescent="0.25">
      <c r="A18" s="5" t="s">
        <v>30</v>
      </c>
      <c r="B18" s="5" t="s">
        <v>58</v>
      </c>
      <c r="C18" s="6">
        <v>44739</v>
      </c>
      <c r="D18" s="5" t="s">
        <v>78</v>
      </c>
      <c r="E18" s="7">
        <v>31903</v>
      </c>
      <c r="F18" s="8">
        <f t="shared" ca="1" si="0"/>
        <v>39</v>
      </c>
      <c r="G18" s="5" t="s">
        <v>96</v>
      </c>
      <c r="H18" s="9">
        <v>134269</v>
      </c>
      <c r="I18" s="5">
        <v>0.44215928472701693</v>
      </c>
      <c r="J18" s="10">
        <v>1670597</v>
      </c>
      <c r="K18" s="5" t="s">
        <v>128</v>
      </c>
      <c r="L18" s="11" t="s">
        <v>148</v>
      </c>
      <c r="M18" s="11">
        <f t="shared" ca="1" si="1"/>
        <v>4</v>
      </c>
      <c r="N18" s="11" t="str">
        <f t="shared" ca="1" si="2"/>
        <v>Junior</v>
      </c>
    </row>
    <row r="19" spans="1:14" x14ac:dyDescent="0.25">
      <c r="A19" s="5" t="s">
        <v>31</v>
      </c>
      <c r="B19" s="5" t="s">
        <v>59</v>
      </c>
      <c r="C19" s="6">
        <v>45412</v>
      </c>
      <c r="D19" s="5" t="s">
        <v>78</v>
      </c>
      <c r="E19" s="7">
        <v>31591</v>
      </c>
      <c r="F19" s="8">
        <f t="shared" ca="1" si="0"/>
        <v>40</v>
      </c>
      <c r="G19" s="5" t="s">
        <v>97</v>
      </c>
      <c r="H19" s="9">
        <v>127037</v>
      </c>
      <c r="I19" s="5">
        <v>0.70610956934501301</v>
      </c>
      <c r="J19" s="10">
        <v>1614147</v>
      </c>
      <c r="K19" s="5" t="s">
        <v>129</v>
      </c>
      <c r="L19" s="11" t="s">
        <v>149</v>
      </c>
      <c r="M19" s="11">
        <f t="shared" ca="1" si="1"/>
        <v>2</v>
      </c>
      <c r="N19" s="11" t="str">
        <f t="shared" ca="1" si="2"/>
        <v>Fresher</v>
      </c>
    </row>
    <row r="20" spans="1:14" x14ac:dyDescent="0.25">
      <c r="A20" s="5" t="s">
        <v>32</v>
      </c>
      <c r="B20" s="5" t="s">
        <v>60</v>
      </c>
      <c r="C20" s="6">
        <v>44583</v>
      </c>
      <c r="D20" s="5" t="s">
        <v>78</v>
      </c>
      <c r="E20" s="7">
        <v>32925</v>
      </c>
      <c r="F20" s="8">
        <f t="shared" ca="1" si="0"/>
        <v>36</v>
      </c>
      <c r="G20" s="5" t="s">
        <v>98</v>
      </c>
      <c r="H20" s="9">
        <v>86070</v>
      </c>
      <c r="I20" s="5">
        <v>0.44794796573956108</v>
      </c>
      <c r="J20" s="10">
        <v>1071395</v>
      </c>
      <c r="K20" s="5" t="s">
        <v>130</v>
      </c>
      <c r="L20" s="11" t="s">
        <v>150</v>
      </c>
      <c r="M20" s="11">
        <f t="shared" ca="1" si="1"/>
        <v>4</v>
      </c>
      <c r="N20" s="11" t="str">
        <f t="shared" ca="1" si="2"/>
        <v>Junior</v>
      </c>
    </row>
    <row r="21" spans="1:14" x14ac:dyDescent="0.25">
      <c r="A21" s="5" t="s">
        <v>33</v>
      </c>
      <c r="B21" s="5" t="s">
        <v>61</v>
      </c>
      <c r="C21" s="6">
        <v>45305</v>
      </c>
      <c r="D21" s="5" t="s">
        <v>78</v>
      </c>
      <c r="E21" s="7">
        <v>32911</v>
      </c>
      <c r="F21" s="8">
        <f t="shared" ca="1" si="0"/>
        <v>36</v>
      </c>
      <c r="G21" s="5" t="s">
        <v>99</v>
      </c>
      <c r="H21" s="9">
        <v>92607</v>
      </c>
      <c r="I21" s="5">
        <v>0.44995795416714612</v>
      </c>
      <c r="J21" s="10">
        <v>1152954</v>
      </c>
      <c r="K21" s="5" t="s">
        <v>131</v>
      </c>
      <c r="L21" s="11" t="s">
        <v>151</v>
      </c>
      <c r="M21" s="11">
        <f t="shared" ca="1" si="1"/>
        <v>2</v>
      </c>
      <c r="N21" s="11" t="str">
        <f t="shared" ca="1" si="2"/>
        <v>Fresher</v>
      </c>
    </row>
    <row r="22" spans="1:14" x14ac:dyDescent="0.25">
      <c r="A22" s="5" t="s">
        <v>34</v>
      </c>
      <c r="B22" s="5" t="s">
        <v>62</v>
      </c>
      <c r="C22" s="6">
        <v>42232</v>
      </c>
      <c r="D22" s="5" t="s">
        <v>78</v>
      </c>
      <c r="E22" s="7">
        <v>32340</v>
      </c>
      <c r="F22" s="8">
        <f t="shared" ca="1" si="0"/>
        <v>38</v>
      </c>
      <c r="G22" s="5" t="s">
        <v>100</v>
      </c>
      <c r="H22" s="9">
        <v>103666</v>
      </c>
      <c r="I22" s="5">
        <v>0.26114398334564426</v>
      </c>
      <c r="J22" s="10">
        <v>1271064</v>
      </c>
      <c r="K22" s="5" t="s">
        <v>132</v>
      </c>
      <c r="L22" s="11" t="s">
        <v>152</v>
      </c>
      <c r="M22" s="11">
        <f t="shared" ca="1" si="1"/>
        <v>10</v>
      </c>
      <c r="N22" s="11" t="str">
        <f t="shared" ca="1" si="2"/>
        <v>Mid</v>
      </c>
    </row>
    <row r="23" spans="1:14" x14ac:dyDescent="0.25">
      <c r="A23" s="5" t="s">
        <v>35</v>
      </c>
      <c r="B23" s="5" t="s">
        <v>63</v>
      </c>
      <c r="C23" s="6">
        <v>45079</v>
      </c>
      <c r="D23" s="5" t="s">
        <v>78</v>
      </c>
      <c r="E23" s="7">
        <v>32060</v>
      </c>
      <c r="F23" s="8">
        <f t="shared" ca="1" si="0"/>
        <v>38</v>
      </c>
      <c r="G23" s="5" t="s">
        <v>101</v>
      </c>
      <c r="H23" s="9">
        <v>84630</v>
      </c>
      <c r="I23" s="5">
        <v>0.42421143238899484</v>
      </c>
      <c r="J23" s="10">
        <v>1051462</v>
      </c>
      <c r="K23" s="5" t="s">
        <v>133</v>
      </c>
      <c r="L23" s="11" t="s">
        <v>153</v>
      </c>
      <c r="M23" s="11">
        <f t="shared" ca="1" si="1"/>
        <v>3</v>
      </c>
      <c r="N23" s="11" t="str">
        <f t="shared" ca="1" si="2"/>
        <v>Junior</v>
      </c>
    </row>
    <row r="24" spans="1:14" x14ac:dyDescent="0.25">
      <c r="A24" s="5" t="s">
        <v>36</v>
      </c>
      <c r="B24" s="5" t="s">
        <v>64</v>
      </c>
      <c r="C24" s="6">
        <v>41785</v>
      </c>
      <c r="D24" s="5" t="s">
        <v>78</v>
      </c>
      <c r="E24" s="7">
        <v>32181</v>
      </c>
      <c r="F24" s="8">
        <f t="shared" ca="1" si="0"/>
        <v>38</v>
      </c>
      <c r="G24" s="5" t="s">
        <v>102</v>
      </c>
      <c r="H24" s="9">
        <v>112764</v>
      </c>
      <c r="I24" s="5">
        <v>0.10274126589402532</v>
      </c>
      <c r="J24" s="10">
        <v>1364754</v>
      </c>
      <c r="K24" s="5" t="s">
        <v>134</v>
      </c>
      <c r="L24" s="11" t="s">
        <v>154</v>
      </c>
      <c r="M24" s="11">
        <f t="shared" ca="1" si="1"/>
        <v>12</v>
      </c>
      <c r="N24" s="11" t="str">
        <f t="shared" ca="1" si="2"/>
        <v>Senior</v>
      </c>
    </row>
    <row r="25" spans="1:14" x14ac:dyDescent="0.25">
      <c r="A25" s="5" t="s">
        <v>37</v>
      </c>
      <c r="B25" s="5" t="s">
        <v>65</v>
      </c>
      <c r="C25" s="6">
        <v>43381</v>
      </c>
      <c r="D25" s="5" t="s">
        <v>78</v>
      </c>
      <c r="E25" s="7">
        <v>32114</v>
      </c>
      <c r="F25" s="8">
        <f t="shared" ca="1" si="0"/>
        <v>38</v>
      </c>
      <c r="G25" s="5" t="s">
        <v>103</v>
      </c>
      <c r="H25" s="9">
        <v>118155</v>
      </c>
      <c r="I25" s="5">
        <v>0.99078058958305115</v>
      </c>
      <c r="J25" s="10">
        <v>1534926</v>
      </c>
      <c r="K25" s="5" t="s">
        <v>135</v>
      </c>
      <c r="L25" s="11" t="s">
        <v>155</v>
      </c>
      <c r="M25" s="11">
        <f t="shared" ca="1" si="1"/>
        <v>7</v>
      </c>
      <c r="N25" s="11" t="str">
        <f t="shared" ca="1" si="2"/>
        <v>Mid</v>
      </c>
    </row>
    <row r="26" spans="1:14" x14ac:dyDescent="0.25">
      <c r="A26" s="5" t="s">
        <v>38</v>
      </c>
      <c r="B26" s="5" t="s">
        <v>66</v>
      </c>
      <c r="C26" s="6">
        <v>42327</v>
      </c>
      <c r="D26" s="5" t="s">
        <v>78</v>
      </c>
      <c r="E26" s="7">
        <v>32271</v>
      </c>
      <c r="F26" s="8">
        <f t="shared" ca="1" si="0"/>
        <v>38</v>
      </c>
      <c r="G26" s="5" t="s">
        <v>104</v>
      </c>
      <c r="H26" s="9">
        <v>123173</v>
      </c>
      <c r="I26" s="5">
        <v>3.0689539036579561E-2</v>
      </c>
      <c r="J26" s="10">
        <v>1481857</v>
      </c>
      <c r="K26" s="5" t="s">
        <v>136</v>
      </c>
      <c r="L26" s="11" t="s">
        <v>144</v>
      </c>
      <c r="M26" s="11">
        <f t="shared" ca="1" si="1"/>
        <v>10</v>
      </c>
      <c r="N26" s="11" t="str">
        <f t="shared" ca="1" si="2"/>
        <v>Mid</v>
      </c>
    </row>
    <row r="27" spans="1:14" x14ac:dyDescent="0.25">
      <c r="A27" s="5" t="s">
        <v>39</v>
      </c>
      <c r="B27" s="5" t="s">
        <v>67</v>
      </c>
      <c r="C27" s="6">
        <v>43091</v>
      </c>
      <c r="D27" s="5" t="s">
        <v>78</v>
      </c>
      <c r="E27" s="7">
        <v>32857</v>
      </c>
      <c r="F27" s="8">
        <f t="shared" ca="1" si="0"/>
        <v>36</v>
      </c>
      <c r="G27" s="5" t="s">
        <v>105</v>
      </c>
      <c r="H27" s="9">
        <v>73401</v>
      </c>
      <c r="I27" s="5">
        <v>0.60221372846494625</v>
      </c>
      <c r="J27" s="10">
        <v>925016</v>
      </c>
      <c r="K27" s="5" t="s">
        <v>137</v>
      </c>
      <c r="L27" s="11" t="s">
        <v>145</v>
      </c>
      <c r="M27" s="11">
        <f t="shared" ca="1" si="1"/>
        <v>8</v>
      </c>
      <c r="N27" s="11" t="str">
        <f t="shared" ca="1" si="2"/>
        <v>Mid</v>
      </c>
    </row>
    <row r="28" spans="1:14" x14ac:dyDescent="0.25">
      <c r="A28" s="5" t="s">
        <v>40</v>
      </c>
      <c r="B28" s="5" t="s">
        <v>68</v>
      </c>
      <c r="C28" s="6">
        <v>44734</v>
      </c>
      <c r="D28" s="5" t="s">
        <v>78</v>
      </c>
      <c r="E28" s="7">
        <v>32597</v>
      </c>
      <c r="F28" s="8">
        <f t="shared" ca="1" si="0"/>
        <v>37</v>
      </c>
      <c r="G28" s="5" t="s">
        <v>106</v>
      </c>
      <c r="H28" s="9">
        <v>105555</v>
      </c>
      <c r="I28" s="5">
        <v>0.11060035544654745</v>
      </c>
      <c r="J28" s="10">
        <v>1278335</v>
      </c>
      <c r="K28" s="5" t="s">
        <v>138</v>
      </c>
      <c r="L28" s="11" t="s">
        <v>146</v>
      </c>
      <c r="M28" s="11">
        <f t="shared" ca="1" si="1"/>
        <v>4</v>
      </c>
      <c r="N28" s="11" t="str">
        <f t="shared" ca="1" si="2"/>
        <v>Junior</v>
      </c>
    </row>
    <row r="29" spans="1:14" x14ac:dyDescent="0.25">
      <c r="A29" s="5" t="s">
        <v>41</v>
      </c>
      <c r="B29" s="5" t="s">
        <v>69</v>
      </c>
      <c r="C29" s="6">
        <v>42905</v>
      </c>
      <c r="D29" s="5" t="s">
        <v>79</v>
      </c>
      <c r="E29" s="7">
        <v>31725</v>
      </c>
      <c r="F29" s="8">
        <f t="shared" ca="1" si="0"/>
        <v>39</v>
      </c>
      <c r="G29" s="5" t="s">
        <v>107</v>
      </c>
      <c r="H29" s="9">
        <v>81302</v>
      </c>
      <c r="I29" s="5">
        <v>0.91049058907542724</v>
      </c>
      <c r="J29" s="10">
        <v>1049649</v>
      </c>
      <c r="K29" s="5" t="s">
        <v>139</v>
      </c>
      <c r="L29" s="11" t="s">
        <v>147</v>
      </c>
      <c r="M29" s="11">
        <f t="shared" ca="1" si="1"/>
        <v>9</v>
      </c>
      <c r="N29" s="11" t="str">
        <f t="shared" ca="1" si="2"/>
        <v>Mid</v>
      </c>
    </row>
    <row r="30" spans="1:14" x14ac:dyDescent="0.25">
      <c r="A30" s="5" t="s">
        <v>42</v>
      </c>
      <c r="B30" s="5" t="s">
        <v>70</v>
      </c>
      <c r="C30" s="6">
        <v>42066</v>
      </c>
      <c r="D30" s="5" t="s">
        <v>79</v>
      </c>
      <c r="E30" s="7">
        <v>31942</v>
      </c>
      <c r="F30" s="8">
        <f t="shared" ca="1" si="0"/>
        <v>39</v>
      </c>
      <c r="G30" s="5" t="s">
        <v>108</v>
      </c>
      <c r="H30" s="9">
        <v>94626</v>
      </c>
      <c r="I30" s="5">
        <v>0.78994502349332052</v>
      </c>
      <c r="J30" s="10">
        <v>1210262</v>
      </c>
      <c r="K30" s="5" t="s">
        <v>140</v>
      </c>
      <c r="L30" s="11" t="s">
        <v>148</v>
      </c>
      <c r="M30" s="11">
        <f t="shared" ca="1" si="1"/>
        <v>11</v>
      </c>
      <c r="N30" s="11" t="str">
        <f t="shared" ca="1" si="2"/>
        <v>Senior</v>
      </c>
    </row>
    <row r="31" spans="1:14" x14ac:dyDescent="0.25">
      <c r="A31" s="5" t="s">
        <v>43</v>
      </c>
      <c r="B31" s="5" t="s">
        <v>71</v>
      </c>
      <c r="C31" s="6">
        <v>45334</v>
      </c>
      <c r="D31" s="5" t="s">
        <v>79</v>
      </c>
      <c r="E31" s="7">
        <v>32363</v>
      </c>
      <c r="F31" s="8">
        <f t="shared" ca="1" si="0"/>
        <v>38</v>
      </c>
      <c r="G31" s="5" t="s">
        <v>109</v>
      </c>
      <c r="H31" s="9">
        <v>104403</v>
      </c>
      <c r="I31" s="5">
        <v>0.38088419696197684</v>
      </c>
      <c r="J31" s="10">
        <v>1292602</v>
      </c>
      <c r="K31" s="5" t="s">
        <v>141</v>
      </c>
      <c r="L31" s="11" t="s">
        <v>149</v>
      </c>
      <c r="M31" s="11">
        <f t="shared" ca="1" si="1"/>
        <v>2</v>
      </c>
      <c r="N31" s="11" t="str">
        <f t="shared" ca="1" si="2"/>
        <v>Fresher</v>
      </c>
    </row>
    <row r="32" spans="1:14" x14ac:dyDescent="0.25">
      <c r="A32" s="5" t="s">
        <v>44</v>
      </c>
      <c r="B32" s="5" t="s">
        <v>72</v>
      </c>
      <c r="C32" s="6">
        <v>42271</v>
      </c>
      <c r="D32" s="5" t="s">
        <v>79</v>
      </c>
      <c r="E32" s="7">
        <v>32678</v>
      </c>
      <c r="F32" s="8">
        <f t="shared" ca="1" si="0"/>
        <v>37</v>
      </c>
      <c r="G32" s="5" t="s">
        <v>110</v>
      </c>
      <c r="H32" s="9">
        <v>98043</v>
      </c>
      <c r="I32" s="5">
        <v>0.60816444354474852</v>
      </c>
      <c r="J32" s="10">
        <v>1236143</v>
      </c>
      <c r="K32" s="5" t="s">
        <v>142</v>
      </c>
      <c r="L32" s="11" t="s">
        <v>150</v>
      </c>
      <c r="M32" s="11">
        <f t="shared" ca="1" si="1"/>
        <v>10</v>
      </c>
      <c r="N32" s="11" t="str">
        <f t="shared" ca="1" si="2"/>
        <v>Mid</v>
      </c>
    </row>
    <row r="33" spans="1:14" x14ac:dyDescent="0.25">
      <c r="A33" s="5" t="s">
        <v>45</v>
      </c>
      <c r="B33" s="5" t="s">
        <v>73</v>
      </c>
      <c r="C33" s="6">
        <v>43001</v>
      </c>
      <c r="D33" s="5" t="s">
        <v>78</v>
      </c>
      <c r="E33" s="7">
        <v>32362</v>
      </c>
      <c r="F33" s="8">
        <f t="shared" ca="1" si="0"/>
        <v>38</v>
      </c>
      <c r="G33" s="5" t="s">
        <v>111</v>
      </c>
      <c r="H33" s="9">
        <v>131771</v>
      </c>
      <c r="I33" s="5">
        <v>0.6761449150836405</v>
      </c>
      <c r="J33" s="10">
        <v>1670349</v>
      </c>
      <c r="K33" s="5" t="s">
        <v>143</v>
      </c>
      <c r="L33" s="11" t="s">
        <v>151</v>
      </c>
      <c r="M33" s="11">
        <f t="shared" ca="1" si="1"/>
        <v>8</v>
      </c>
      <c r="N33" s="11" t="str">
        <f t="shared" ca="1" si="2"/>
        <v>Mid</v>
      </c>
    </row>
    <row r="34" spans="1:14" x14ac:dyDescent="0.25">
      <c r="A34" s="5" t="s">
        <v>46</v>
      </c>
      <c r="B34" s="5" t="s">
        <v>58</v>
      </c>
      <c r="C34" s="6">
        <v>41039</v>
      </c>
      <c r="D34" s="5" t="s">
        <v>78</v>
      </c>
      <c r="E34" s="7">
        <v>32071</v>
      </c>
      <c r="F34" s="8">
        <f t="shared" ca="1" si="0"/>
        <v>38</v>
      </c>
      <c r="G34" s="5" t="s">
        <v>112</v>
      </c>
      <c r="H34" s="9">
        <v>63541</v>
      </c>
      <c r="I34" s="5">
        <v>0.5881122647323791</v>
      </c>
      <c r="J34" s="10">
        <v>799862</v>
      </c>
      <c r="K34" s="5" t="s">
        <v>128</v>
      </c>
      <c r="L34" s="11" t="s">
        <v>152</v>
      </c>
      <c r="M34" s="11">
        <f t="shared" ca="1" si="1"/>
        <v>14</v>
      </c>
      <c r="N34" s="11" t="str">
        <f t="shared" ca="1" si="2"/>
        <v>Senior</v>
      </c>
    </row>
    <row r="35" spans="1:14" x14ac:dyDescent="0.25">
      <c r="A35" s="5" t="s">
        <v>47</v>
      </c>
      <c r="B35" s="5" t="s">
        <v>59</v>
      </c>
      <c r="C35" s="6">
        <v>44865</v>
      </c>
      <c r="D35" s="5" t="s">
        <v>78</v>
      </c>
      <c r="E35" s="7">
        <v>31529</v>
      </c>
      <c r="F35" s="8">
        <f t="shared" ca="1" si="0"/>
        <v>40</v>
      </c>
      <c r="G35" s="5" t="s">
        <v>113</v>
      </c>
      <c r="H35" s="9">
        <v>89079</v>
      </c>
      <c r="I35" s="5">
        <v>0.41570307981497434</v>
      </c>
      <c r="J35" s="10">
        <v>1105979</v>
      </c>
      <c r="K35" s="5" t="s">
        <v>129</v>
      </c>
      <c r="L35" s="11" t="s">
        <v>153</v>
      </c>
      <c r="M35" s="11">
        <f t="shared" ca="1" si="1"/>
        <v>3</v>
      </c>
      <c r="N35" s="11" t="str">
        <f t="shared" ca="1" si="2"/>
        <v>Junior</v>
      </c>
    </row>
    <row r="36" spans="1:14" x14ac:dyDescent="0.25">
      <c r="A36" s="5" t="s">
        <v>48</v>
      </c>
      <c r="B36" s="5" t="s">
        <v>60</v>
      </c>
      <c r="C36" s="6">
        <v>41575</v>
      </c>
      <c r="D36" s="5" t="s">
        <v>78</v>
      </c>
      <c r="E36" s="7">
        <v>32842</v>
      </c>
      <c r="F36" s="8">
        <f t="shared" ca="1" si="0"/>
        <v>36</v>
      </c>
      <c r="G36" s="5" t="s">
        <v>114</v>
      </c>
      <c r="H36" s="9">
        <v>102210</v>
      </c>
      <c r="I36" s="5">
        <v>0.42544460295842168</v>
      </c>
      <c r="J36" s="10">
        <v>1270005</v>
      </c>
      <c r="K36" s="5" t="s">
        <v>130</v>
      </c>
      <c r="L36" s="11" t="s">
        <v>154</v>
      </c>
      <c r="M36" s="11">
        <f t="shared" ca="1" si="1"/>
        <v>12</v>
      </c>
      <c r="N36" s="11" t="str">
        <f t="shared" ca="1" si="2"/>
        <v>Senior</v>
      </c>
    </row>
    <row r="37" spans="1:14" x14ac:dyDescent="0.25">
      <c r="A37" s="5" t="s">
        <v>49</v>
      </c>
      <c r="B37" s="5" t="s">
        <v>61</v>
      </c>
      <c r="C37" s="6">
        <v>42109</v>
      </c>
      <c r="D37" s="5" t="s">
        <v>78</v>
      </c>
      <c r="E37" s="7">
        <v>31951</v>
      </c>
      <c r="F37" s="8">
        <f t="shared" ca="1" si="0"/>
        <v>39</v>
      </c>
      <c r="G37" s="5" t="s">
        <v>115</v>
      </c>
      <c r="H37" s="9">
        <v>134698</v>
      </c>
      <c r="I37" s="5">
        <v>0.8768962753016436</v>
      </c>
      <c r="J37" s="10">
        <v>1734493</v>
      </c>
      <c r="K37" s="5" t="s">
        <v>131</v>
      </c>
      <c r="L37" s="11" t="s">
        <v>155</v>
      </c>
      <c r="M37" s="11">
        <f t="shared" ca="1" si="1"/>
        <v>11</v>
      </c>
      <c r="N37" s="11" t="str">
        <f t="shared" ca="1" si="2"/>
        <v>Senior</v>
      </c>
    </row>
    <row r="38" spans="1:14" x14ac:dyDescent="0.25">
      <c r="A38" s="5" t="s">
        <v>50</v>
      </c>
      <c r="B38" s="5" t="s">
        <v>62</v>
      </c>
      <c r="C38" s="6">
        <v>43978</v>
      </c>
      <c r="D38" s="5" t="s">
        <v>78</v>
      </c>
      <c r="E38" s="7">
        <v>32655</v>
      </c>
      <c r="F38" s="8">
        <f t="shared" ca="1" si="0"/>
        <v>37</v>
      </c>
      <c r="G38" s="5" t="s">
        <v>116</v>
      </c>
      <c r="H38" s="9">
        <v>130774</v>
      </c>
      <c r="I38" s="5">
        <v>0.60248488178713511</v>
      </c>
      <c r="J38" s="10">
        <v>1648078</v>
      </c>
      <c r="K38" s="5" t="s">
        <v>132</v>
      </c>
      <c r="L38" s="11" t="s">
        <v>144</v>
      </c>
      <c r="M38" s="11">
        <f t="shared" ca="1" si="1"/>
        <v>6</v>
      </c>
      <c r="N38" s="11" t="str">
        <f t="shared" ca="1" si="2"/>
        <v>Mid</v>
      </c>
    </row>
    <row r="39" spans="1:14" x14ac:dyDescent="0.25">
      <c r="A39" s="5" t="s">
        <v>51</v>
      </c>
      <c r="B39" s="5" t="s">
        <v>63</v>
      </c>
      <c r="C39" s="6">
        <v>44913</v>
      </c>
      <c r="D39" s="5" t="s">
        <v>78</v>
      </c>
      <c r="E39" s="7">
        <v>32813</v>
      </c>
      <c r="F39" s="8">
        <f t="shared" ca="1" si="0"/>
        <v>36</v>
      </c>
      <c r="G39" s="5" t="s">
        <v>117</v>
      </c>
      <c r="H39" s="9">
        <v>62965</v>
      </c>
      <c r="I39" s="5">
        <v>0.48940756829908494</v>
      </c>
      <c r="J39" s="10">
        <v>786396</v>
      </c>
      <c r="K39" s="5" t="s">
        <v>133</v>
      </c>
      <c r="L39" s="11" t="s">
        <v>145</v>
      </c>
      <c r="M39" s="11">
        <f t="shared" ca="1" si="1"/>
        <v>3</v>
      </c>
      <c r="N39" s="11" t="str">
        <f t="shared" ca="1" si="2"/>
        <v>Junior</v>
      </c>
    </row>
    <row r="40" spans="1:14" x14ac:dyDescent="0.25">
      <c r="A40" s="5" t="s">
        <v>52</v>
      </c>
      <c r="B40" s="5" t="s">
        <v>64</v>
      </c>
      <c r="C40" s="6">
        <v>43250</v>
      </c>
      <c r="D40" s="5" t="s">
        <v>78</v>
      </c>
      <c r="E40" s="7">
        <v>32077</v>
      </c>
      <c r="F40" s="8">
        <f t="shared" ca="1" si="0"/>
        <v>38</v>
      </c>
      <c r="G40" s="5" t="s">
        <v>118</v>
      </c>
      <c r="H40" s="9">
        <v>107480</v>
      </c>
      <c r="I40" s="5">
        <v>0.9492678634182149</v>
      </c>
      <c r="J40" s="10">
        <v>1391788</v>
      </c>
      <c r="K40" s="5" t="s">
        <v>134</v>
      </c>
      <c r="L40" s="11" t="s">
        <v>146</v>
      </c>
      <c r="M40" s="11">
        <f t="shared" ca="1" si="1"/>
        <v>8</v>
      </c>
      <c r="N40" s="11" t="str">
        <f t="shared" ca="1" si="2"/>
        <v>Mid</v>
      </c>
    </row>
    <row r="41" spans="1:14" x14ac:dyDescent="0.25">
      <c r="A41" s="5" t="s">
        <v>53</v>
      </c>
      <c r="B41" s="5" t="s">
        <v>65</v>
      </c>
      <c r="C41" s="6">
        <v>42452</v>
      </c>
      <c r="D41" s="5" t="s">
        <v>78</v>
      </c>
      <c r="E41" s="7">
        <v>31905</v>
      </c>
      <c r="F41" s="8">
        <f t="shared" ca="1" si="0"/>
        <v>39</v>
      </c>
      <c r="G41" s="5" t="s">
        <v>119</v>
      </c>
      <c r="H41" s="9">
        <v>82958</v>
      </c>
      <c r="I41" s="5">
        <v>0.64400534516858721</v>
      </c>
      <c r="J41" s="10">
        <v>1048922</v>
      </c>
      <c r="K41" s="5" t="s">
        <v>135</v>
      </c>
      <c r="L41" s="11" t="s">
        <v>147</v>
      </c>
      <c r="M41" s="11">
        <f t="shared" ca="1" si="1"/>
        <v>10</v>
      </c>
      <c r="N41" s="11" t="str">
        <f t="shared" ca="1" si="2"/>
        <v>Mid</v>
      </c>
    </row>
    <row r="42" spans="1:14" x14ac:dyDescent="0.25">
      <c r="A42" s="5" t="s">
        <v>54</v>
      </c>
      <c r="B42" s="5" t="s">
        <v>66</v>
      </c>
      <c r="C42" s="6">
        <v>41560</v>
      </c>
      <c r="D42" s="5" t="s">
        <v>78</v>
      </c>
      <c r="E42" s="7">
        <v>32428</v>
      </c>
      <c r="F42" s="8">
        <f t="shared" ca="1" si="0"/>
        <v>37</v>
      </c>
      <c r="G42" s="5" t="s">
        <v>120</v>
      </c>
      <c r="H42" s="9">
        <v>86950</v>
      </c>
      <c r="I42" s="5">
        <v>5.7233006606269066E-2</v>
      </c>
      <c r="J42" s="10">
        <v>1048377</v>
      </c>
      <c r="K42" s="5" t="s">
        <v>136</v>
      </c>
      <c r="L42" s="11" t="s">
        <v>148</v>
      </c>
      <c r="M42" s="11">
        <f t="shared" ca="1" si="1"/>
        <v>12</v>
      </c>
      <c r="N42" s="11" t="str">
        <f t="shared" ca="1" si="2"/>
        <v>Senior</v>
      </c>
    </row>
    <row r="43" spans="1:14" x14ac:dyDescent="0.25">
      <c r="A43" s="5" t="s">
        <v>55</v>
      </c>
      <c r="B43" s="5" t="s">
        <v>67</v>
      </c>
      <c r="C43" s="6">
        <v>41794</v>
      </c>
      <c r="D43" s="5" t="s">
        <v>78</v>
      </c>
      <c r="E43" s="7">
        <v>32760</v>
      </c>
      <c r="F43" s="8">
        <f t="shared" ca="1" si="0"/>
        <v>36</v>
      </c>
      <c r="G43" s="5" t="s">
        <v>121</v>
      </c>
      <c r="H43" s="9">
        <v>122316</v>
      </c>
      <c r="I43" s="5">
        <v>0.96681403195115256</v>
      </c>
      <c r="J43" s="10">
        <v>1586049</v>
      </c>
      <c r="K43" s="5" t="s">
        <v>137</v>
      </c>
      <c r="L43" s="11" t="s">
        <v>149</v>
      </c>
      <c r="M43" s="11">
        <f t="shared" ca="1" si="1"/>
        <v>12</v>
      </c>
      <c r="N43" s="11" t="str">
        <f t="shared" ca="1" si="2"/>
        <v>Senior</v>
      </c>
    </row>
    <row r="44" spans="1:14" x14ac:dyDescent="0.25">
      <c r="A44" s="5" t="s">
        <v>56</v>
      </c>
      <c r="B44" s="5" t="s">
        <v>68</v>
      </c>
      <c r="C44" s="6">
        <v>43018</v>
      </c>
      <c r="D44" s="5" t="s">
        <v>78</v>
      </c>
      <c r="E44" s="7">
        <v>31802</v>
      </c>
      <c r="F44" s="8">
        <f t="shared" ca="1" si="0"/>
        <v>39</v>
      </c>
      <c r="G44" s="5" t="s">
        <v>122</v>
      </c>
      <c r="H44" s="9">
        <v>99779</v>
      </c>
      <c r="I44" s="5">
        <v>0.67759423486928894</v>
      </c>
      <c r="J44" s="10">
        <v>1264958</v>
      </c>
      <c r="K44" s="5" t="s">
        <v>138</v>
      </c>
      <c r="L44" s="11" t="s">
        <v>150</v>
      </c>
      <c r="M44" s="11">
        <f t="shared" ca="1" si="1"/>
        <v>8</v>
      </c>
      <c r="N44" s="11" t="str">
        <f t="shared" ca="1" si="2"/>
        <v>Mid</v>
      </c>
    </row>
    <row r="45" spans="1:14" x14ac:dyDescent="0.25">
      <c r="A45" s="5" t="s">
        <v>57</v>
      </c>
      <c r="B45" s="5" t="s">
        <v>69</v>
      </c>
      <c r="C45" s="6">
        <v>41340</v>
      </c>
      <c r="D45" s="5" t="s">
        <v>79</v>
      </c>
      <c r="E45" s="7">
        <v>32208</v>
      </c>
      <c r="F45" s="8">
        <f t="shared" ca="1" si="0"/>
        <v>38</v>
      </c>
      <c r="G45" s="5" t="s">
        <v>123</v>
      </c>
      <c r="H45" s="9">
        <v>82160</v>
      </c>
      <c r="I45" s="5">
        <v>0.85722319584530104</v>
      </c>
      <c r="J45" s="10">
        <v>1056350</v>
      </c>
      <c r="K45" s="5" t="s">
        <v>139</v>
      </c>
      <c r="L45" s="11" t="s">
        <v>151</v>
      </c>
      <c r="M45" s="11">
        <f t="shared" ca="1" si="1"/>
        <v>13</v>
      </c>
      <c r="N45" s="11" t="str">
        <f t="shared" ca="1" si="2"/>
        <v>Senior</v>
      </c>
    </row>
    <row r="46" spans="1:14" x14ac:dyDescent="0.25">
      <c r="A46" s="5" t="s">
        <v>74</v>
      </c>
      <c r="B46" s="5" t="s">
        <v>70</v>
      </c>
      <c r="C46" s="6">
        <v>43476</v>
      </c>
      <c r="D46" s="5" t="s">
        <v>79</v>
      </c>
      <c r="E46" s="7">
        <v>31502</v>
      </c>
      <c r="F46" s="8">
        <f t="shared" ca="1" si="0"/>
        <v>40</v>
      </c>
      <c r="G46" s="5" t="s">
        <v>124</v>
      </c>
      <c r="H46" s="9">
        <v>132665</v>
      </c>
      <c r="I46" s="5">
        <v>0.33805460130978859</v>
      </c>
      <c r="J46" s="10">
        <v>1636829</v>
      </c>
      <c r="K46" s="5" t="s">
        <v>140</v>
      </c>
      <c r="L46" s="11" t="s">
        <v>152</v>
      </c>
      <c r="M46" s="11">
        <f t="shared" ca="1" si="1"/>
        <v>7</v>
      </c>
      <c r="N46" s="11" t="str">
        <f t="shared" ca="1" si="2"/>
        <v>Mid</v>
      </c>
    </row>
    <row r="47" spans="1:14" x14ac:dyDescent="0.25">
      <c r="A47" s="5" t="s">
        <v>75</v>
      </c>
      <c r="B47" s="5" t="s">
        <v>71</v>
      </c>
      <c r="C47" s="6">
        <v>42982</v>
      </c>
      <c r="D47" s="5" t="s">
        <v>79</v>
      </c>
      <c r="E47" s="7">
        <v>31432</v>
      </c>
      <c r="F47" s="8">
        <f t="shared" ca="1" si="0"/>
        <v>40</v>
      </c>
      <c r="G47" s="5" t="s">
        <v>125</v>
      </c>
      <c r="H47" s="9">
        <v>66737</v>
      </c>
      <c r="I47" s="5">
        <v>0.96073005637734876</v>
      </c>
      <c r="J47" s="10">
        <v>864961</v>
      </c>
      <c r="K47" s="5" t="s">
        <v>141</v>
      </c>
      <c r="L47" s="11" t="s">
        <v>153</v>
      </c>
      <c r="M47" s="11">
        <f t="shared" ca="1" si="1"/>
        <v>8</v>
      </c>
      <c r="N47" s="11" t="str">
        <f t="shared" ca="1" si="2"/>
        <v>Mid</v>
      </c>
    </row>
    <row r="48" spans="1:14" x14ac:dyDescent="0.25">
      <c r="A48" s="5" t="s">
        <v>76</v>
      </c>
      <c r="B48" s="5" t="s">
        <v>72</v>
      </c>
      <c r="C48" s="6">
        <v>41440</v>
      </c>
      <c r="D48" s="5" t="s">
        <v>79</v>
      </c>
      <c r="E48" s="7">
        <v>31628</v>
      </c>
      <c r="F48" s="8">
        <f t="shared" ca="1" si="0"/>
        <v>40</v>
      </c>
      <c r="G48" s="5" t="s">
        <v>126</v>
      </c>
      <c r="H48" s="9">
        <v>79220</v>
      </c>
      <c r="I48" s="5">
        <v>0.12597450049100101</v>
      </c>
      <c r="J48" s="10">
        <v>960620</v>
      </c>
      <c r="K48" s="5" t="s">
        <v>142</v>
      </c>
      <c r="L48" s="11" t="s">
        <v>154</v>
      </c>
      <c r="M48" s="11">
        <f t="shared" ca="1" si="1"/>
        <v>13</v>
      </c>
      <c r="N48" s="11" t="str">
        <f t="shared" ca="1" si="2"/>
        <v>Senior</v>
      </c>
    </row>
    <row r="49" spans="1:14" x14ac:dyDescent="0.25">
      <c r="A49" s="5" t="s">
        <v>77</v>
      </c>
      <c r="B49" s="5" t="s">
        <v>73</v>
      </c>
      <c r="C49" s="6">
        <v>42786</v>
      </c>
      <c r="D49" s="5" t="s">
        <v>78</v>
      </c>
      <c r="E49" s="7">
        <v>33220</v>
      </c>
      <c r="F49" s="8">
        <f t="shared" ca="1" si="0"/>
        <v>35</v>
      </c>
      <c r="G49" s="5" t="s">
        <v>127</v>
      </c>
      <c r="H49" s="9">
        <v>75057</v>
      </c>
      <c r="I49" s="5">
        <v>0.45863804400417607</v>
      </c>
      <c r="J49" s="10">
        <v>935108</v>
      </c>
      <c r="K49" s="5" t="s">
        <v>143</v>
      </c>
      <c r="L49" s="11" t="s">
        <v>155</v>
      </c>
      <c r="M49" s="11">
        <f t="shared" ca="1" si="1"/>
        <v>9</v>
      </c>
      <c r="N49" s="11" t="str">
        <f t="shared" ca="1" si="2"/>
        <v>Mid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Dashboard</vt:lpstr>
      <vt:lpstr>employee_details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2026-08-09T13:31:27Z</dcterms:modified>
</cp:coreProperties>
</file>